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cet/Desktop/current does/currentpapersgrants/Park&amp;Price/data/"/>
    </mc:Choice>
  </mc:AlternateContent>
  <xr:revisionPtr revIDLastSave="0" documentId="13_ncr:1_{1538F526-AE00-F749-BB2A-A576A93FA120}" xr6:coauthVersionLast="47" xr6:coauthVersionMax="47" xr10:uidLastSave="{00000000-0000-0000-0000-000000000000}"/>
  <bookViews>
    <workbookView xWindow="1980" yWindow="2720" windowWidth="22040" windowHeight="12860" firstSheet="1" activeTab="7" xr2:uid="{8DD2F541-5E40-7A4E-AF72-0BAF98E17FBD}"/>
  </bookViews>
  <sheets>
    <sheet name="kestrel  daan et al" sheetId="1" r:id="rId1"/>
    <sheet name="direct seln lay date" sheetId="2" r:id="rId2"/>
    <sheet name="heritability" sheetId="3" r:id="rId3"/>
    <sheet name="daniel" sheetId="6" r:id="rId4"/>
    <sheet name="hadflield notation" sheetId="7" r:id="rId5"/>
    <sheet name="mortality offspring" sheetId="8" r:id="rId6"/>
    <sheet name="kestrel" sheetId="4" r:id="rId7"/>
    <sheet name="Sheet1" sheetId="9" r:id="rId8"/>
    <sheet name="kestrel mean values Meijer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9" l="1"/>
  <c r="K8" i="9"/>
  <c r="E12" i="9"/>
  <c r="F9" i="9"/>
  <c r="F3" i="9"/>
  <c r="F4" i="9"/>
  <c r="F5" i="9"/>
  <c r="F6" i="9"/>
  <c r="F7" i="9"/>
  <c r="F8" i="9"/>
  <c r="F2" i="9"/>
  <c r="E11" i="9"/>
  <c r="E9" i="9"/>
  <c r="E3" i="9"/>
  <c r="E4" i="9"/>
  <c r="E5" i="9"/>
  <c r="E6" i="9"/>
  <c r="E7" i="9"/>
  <c r="E8" i="9"/>
  <c r="E2" i="9"/>
  <c r="D3" i="9"/>
  <c r="D4" i="9"/>
  <c r="D5" i="9"/>
  <c r="D6" i="9"/>
  <c r="D7" i="9"/>
  <c r="D8" i="9"/>
  <c r="D2" i="9"/>
  <c r="A9" i="9"/>
  <c r="C3" i="9"/>
  <c r="C4" i="9"/>
  <c r="C5" i="9"/>
  <c r="C6" i="9"/>
  <c r="C7" i="9"/>
  <c r="C8" i="9"/>
  <c r="C2" i="9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2" i="6"/>
  <c r="B19" i="4" l="1"/>
  <c r="AI11" i="4" l="1"/>
  <c r="Z11" i="4"/>
  <c r="AB11" i="4" s="1"/>
  <c r="M11" i="4"/>
  <c r="N11" i="4" s="1"/>
  <c r="AI10" i="4"/>
  <c r="Z10" i="4"/>
  <c r="AB10" i="4" s="1"/>
  <c r="M10" i="4"/>
  <c r="N10" i="4" s="1"/>
  <c r="AI9" i="4"/>
  <c r="Z9" i="4"/>
  <c r="AA9" i="4" s="1"/>
  <c r="M9" i="4"/>
  <c r="AF9" i="4" s="1"/>
  <c r="AI8" i="4"/>
  <c r="Z8" i="4"/>
  <c r="AB8" i="4" s="1"/>
  <c r="AC8" i="4" s="1"/>
  <c r="M8" i="4"/>
  <c r="AL8" i="4" s="1"/>
  <c r="AI7" i="4"/>
  <c r="Z7" i="4"/>
  <c r="AA7" i="4" s="1"/>
  <c r="M7" i="4"/>
  <c r="AL7" i="4" s="1"/>
  <c r="AI6" i="4"/>
  <c r="Z6" i="4"/>
  <c r="AA6" i="4" s="1"/>
  <c r="M6" i="4"/>
  <c r="N6" i="4" s="1"/>
  <c r="AI5" i="4"/>
  <c r="Z5" i="4"/>
  <c r="AB5" i="4" s="1"/>
  <c r="M5" i="4"/>
  <c r="AL5" i="4" s="1"/>
  <c r="AI4" i="4"/>
  <c r="Z4" i="4"/>
  <c r="AA4" i="4" s="1"/>
  <c r="M4" i="4"/>
  <c r="AF4" i="4" s="1"/>
  <c r="AI3" i="4"/>
  <c r="Z3" i="4"/>
  <c r="AB3" i="4" s="1"/>
  <c r="AC3" i="4" s="1"/>
  <c r="M3" i="4"/>
  <c r="AL3" i="4" s="1"/>
  <c r="AA8" i="4" l="1"/>
  <c r="AF7" i="4"/>
  <c r="AF10" i="4"/>
  <c r="AF5" i="4"/>
  <c r="AA3" i="4"/>
  <c r="AF3" i="4"/>
  <c r="AI13" i="4"/>
  <c r="AJ9" i="4" s="1"/>
  <c r="AK9" i="4" s="1"/>
  <c r="AF6" i="4"/>
  <c r="AF8" i="4"/>
  <c r="AL6" i="4"/>
  <c r="AF11" i="4"/>
  <c r="AL11" i="4"/>
  <c r="AC10" i="4"/>
  <c r="AC5" i="4"/>
  <c r="AC11" i="4"/>
  <c r="AB4" i="4"/>
  <c r="N3" i="4"/>
  <c r="AA11" i="4"/>
  <c r="AL4" i="4"/>
  <c r="AB6" i="4"/>
  <c r="N7" i="4"/>
  <c r="AL9" i="4"/>
  <c r="AB9" i="4"/>
  <c r="AB7" i="4"/>
  <c r="AL10" i="4"/>
  <c r="AA5" i="4"/>
  <c r="AA10" i="4"/>
  <c r="N4" i="4"/>
  <c r="N9" i="4"/>
  <c r="N5" i="4"/>
  <c r="N8" i="4"/>
  <c r="Q2" i="1"/>
  <c r="O3" i="1"/>
  <c r="Q3" i="1" s="1"/>
  <c r="O5" i="1"/>
  <c r="O6" i="1"/>
  <c r="Q6" i="1" s="1"/>
  <c r="O2" i="1"/>
  <c r="H3" i="1"/>
  <c r="U3" i="1" s="1"/>
  <c r="H4" i="1"/>
  <c r="U4" i="1" s="1"/>
  <c r="H5" i="1"/>
  <c r="U5" i="1" s="1"/>
  <c r="H6" i="1"/>
  <c r="U6" i="1" s="1"/>
  <c r="H7" i="1"/>
  <c r="H8" i="1"/>
  <c r="U8" i="1" s="1"/>
  <c r="H2" i="1"/>
  <c r="U2" i="1" s="1"/>
  <c r="M3" i="1"/>
  <c r="M4" i="1"/>
  <c r="M5" i="1"/>
  <c r="M6" i="1"/>
  <c r="M7" i="1"/>
  <c r="M8" i="1"/>
  <c r="M2" i="1"/>
  <c r="K3" i="1"/>
  <c r="K4" i="1"/>
  <c r="K5" i="1"/>
  <c r="K6" i="1"/>
  <c r="K7" i="1"/>
  <c r="K8" i="1"/>
  <c r="K2" i="1"/>
  <c r="P9" i="1"/>
  <c r="Q5" i="1" s="1"/>
  <c r="N3" i="1"/>
  <c r="N4" i="1"/>
  <c r="O4" i="1" s="1"/>
  <c r="N5" i="1"/>
  <c r="N6" i="1"/>
  <c r="N7" i="1"/>
  <c r="O7" i="1" s="1"/>
  <c r="N8" i="1"/>
  <c r="O8" i="1" s="1"/>
  <c r="N2" i="1"/>
  <c r="Q4" i="1" l="1"/>
  <c r="Q8" i="1"/>
  <c r="Q7" i="1"/>
  <c r="AJ8" i="4"/>
  <c r="AK8" i="4" s="1"/>
  <c r="AJ7" i="4"/>
  <c r="AK7" i="4" s="1"/>
  <c r="AK13" i="4" s="1"/>
  <c r="AJ5" i="4"/>
  <c r="AK5" i="4" s="1"/>
  <c r="AJ10" i="4"/>
  <c r="AK10" i="4" s="1"/>
  <c r="AJ3" i="4"/>
  <c r="AK3" i="4" s="1"/>
  <c r="AJ11" i="4"/>
  <c r="AK11" i="4" s="1"/>
  <c r="AJ4" i="4"/>
  <c r="AK4" i="4" s="1"/>
  <c r="AJ6" i="4"/>
  <c r="AK6" i="4" s="1"/>
  <c r="N13" i="4"/>
  <c r="AC4" i="4"/>
  <c r="AC9" i="4"/>
  <c r="AC6" i="4"/>
  <c r="AC7" i="4"/>
  <c r="U7" i="1"/>
  <c r="K9" i="1"/>
  <c r="M9" i="1"/>
  <c r="K19" i="1" s="1"/>
  <c r="U9" i="1"/>
  <c r="AC13" i="4" l="1"/>
  <c r="O11" i="4"/>
  <c r="O6" i="4"/>
  <c r="O10" i="4"/>
  <c r="O3" i="4"/>
  <c r="O4" i="4"/>
  <c r="O7" i="4"/>
  <c r="O9" i="4"/>
  <c r="O5" i="4"/>
  <c r="O8" i="4"/>
  <c r="V2" i="1"/>
  <c r="W2" i="1" s="1"/>
  <c r="K13" i="1"/>
  <c r="K18" i="1"/>
  <c r="V6" i="1"/>
  <c r="W6" i="1" s="1"/>
  <c r="K17" i="1"/>
  <c r="V8" i="1"/>
  <c r="W8" i="1" s="1"/>
  <c r="K16" i="1"/>
  <c r="V3" i="1"/>
  <c r="W3" i="1" s="1"/>
  <c r="K15" i="1"/>
  <c r="K20" i="1" s="1"/>
  <c r="V4" i="1"/>
  <c r="W4" i="1" s="1"/>
  <c r="K14" i="1"/>
  <c r="V5" i="1"/>
  <c r="W5" i="1" s="1"/>
  <c r="V7" i="1"/>
  <c r="W7" i="1" s="1"/>
  <c r="Q9" i="1"/>
  <c r="R5" i="1" l="1"/>
  <c r="R3" i="1"/>
  <c r="R2" i="1"/>
  <c r="R8" i="1"/>
  <c r="S8" i="1" s="1"/>
  <c r="R4" i="1"/>
  <c r="S4" i="1" s="1"/>
  <c r="R7" i="1"/>
  <c r="R6" i="1"/>
  <c r="S6" i="1" s="1"/>
  <c r="O13" i="4"/>
  <c r="AK14" i="4" s="1"/>
  <c r="AD10" i="4"/>
  <c r="AE10" i="4" s="1"/>
  <c r="AD5" i="4"/>
  <c r="AE5" i="4" s="1"/>
  <c r="AD11" i="4"/>
  <c r="AE11" i="4" s="1"/>
  <c r="AD8" i="4"/>
  <c r="AE8" i="4" s="1"/>
  <c r="AD3" i="4"/>
  <c r="AE3" i="4" s="1"/>
  <c r="AD4" i="4"/>
  <c r="AE4" i="4" s="1"/>
  <c r="AD6" i="4"/>
  <c r="AE6" i="4" s="1"/>
  <c r="AD7" i="4"/>
  <c r="AE7" i="4" s="1"/>
  <c r="AD9" i="4"/>
  <c r="AE9" i="4" s="1"/>
  <c r="S7" i="1"/>
  <c r="W9" i="1"/>
  <c r="N20" i="1" s="1"/>
  <c r="S5" i="1"/>
  <c r="S2" i="1"/>
  <c r="S3" i="1"/>
  <c r="AE13" i="4" l="1"/>
  <c r="AE14" i="4" s="1"/>
  <c r="S9" i="1"/>
</calcChain>
</file>

<file path=xl/sharedStrings.xml><?xml version="1.0" encoding="utf-8"?>
<sst xmlns="http://schemas.openxmlformats.org/spreadsheetml/2006/main" count="195" uniqueCount="151">
  <si>
    <t>y</t>
  </si>
  <si>
    <t>lay date</t>
  </si>
  <si>
    <t>V max (total reproductive value combining parent and offspring)</t>
  </si>
  <si>
    <t>clutch size</t>
  </si>
  <si>
    <t>fig</t>
  </si>
  <si>
    <t>inferred Vmax</t>
  </si>
  <si>
    <t>N</t>
  </si>
  <si>
    <t>mean fitness above</t>
  </si>
  <si>
    <t>relative fitness (V max)</t>
  </si>
  <si>
    <t>mean clutch above</t>
  </si>
  <si>
    <t>clutch reproductive value</t>
  </si>
  <si>
    <t>relative fitness (clutch rv)</t>
  </si>
  <si>
    <t>for mean fit calcs</t>
  </si>
  <si>
    <t>for mean fit calcs (clutch rv)</t>
  </si>
  <si>
    <t>rel fitness</t>
  </si>
  <si>
    <t>for mean after selection   based on Vmax</t>
  </si>
  <si>
    <t>for mean lay date</t>
  </si>
  <si>
    <t>for variance in lay date</t>
  </si>
  <si>
    <t>standard selection differential (clutch rv)</t>
  </si>
  <si>
    <t>NOTE: clutch reproductive value is devalued by 0.5 as trakcing only females</t>
  </si>
  <si>
    <t>actual clutch*survival offspring</t>
  </si>
  <si>
    <t>note, the Vmax to the left is V + 0.5 offspring value</t>
  </si>
  <si>
    <t xml:space="preserve">We also find that optimal laying date is density-dependent, with high population density favoring earlier laying dates </t>
  </si>
  <si>
    <t>Gamelon et al.</t>
  </si>
  <si>
    <t>Charmantier</t>
  </si>
  <si>
    <t>stronger selection when time between breeding and max food shortens</t>
  </si>
  <si>
    <t>Vmax= -0545date + 18.164</t>
  </si>
  <si>
    <t>van Noordwijk, great tits</t>
  </si>
  <si>
    <t>viasser et al pied flycatcher</t>
  </si>
  <si>
    <t>0.07, 0.02</t>
  </si>
  <si>
    <t>germain et al sparrow</t>
  </si>
  <si>
    <t>evans</t>
  </si>
  <si>
    <t>~0.12</t>
  </si>
  <si>
    <t>husby</t>
  </si>
  <si>
    <t>great tits, Hoge Veluwe National Park</t>
  </si>
  <si>
    <t>great tits, wytham woods averaged over years</t>
  </si>
  <si>
    <t>great tits wytham woods</t>
  </si>
  <si>
    <t>jones</t>
  </si>
  <si>
    <r>
      <t xml:space="preserve">Ramakers JJC, Gienapp P, Visser ME. 2019 Phenological mismatch drives selection on elevation, but not on slope, of breeding time plasticity in a wild songbird. </t>
    </r>
    <r>
      <rPr>
        <sz val="9"/>
        <color rgb="FF211E1E"/>
        <rFont val="AdvOT1513558b.I"/>
      </rPr>
      <t xml:space="preserve">Evolution </t>
    </r>
    <r>
      <rPr>
        <sz val="9"/>
        <color rgb="FF211E1E"/>
        <rFont val="AdvOT919a0533.B"/>
      </rPr>
      <t>73</t>
    </r>
    <r>
      <rPr>
        <sz val="9"/>
        <color rgb="FF211E1E"/>
        <rFont val="AdvOTd67905e7"/>
      </rPr>
      <t>, 175</t>
    </r>
    <r>
      <rPr>
        <sz val="9"/>
        <color rgb="FF211E1E"/>
        <rFont val="AdvOTd67905e7+20"/>
      </rPr>
      <t>–</t>
    </r>
    <r>
      <rPr>
        <sz val="9"/>
        <color rgb="FF211E1E"/>
        <rFont val="AdvOTd67905e7"/>
      </rPr>
      <t xml:space="preserve">187. (doi:10.1111/evo.13660) </t>
    </r>
  </si>
  <si>
    <t>for mean lay date Can't add Vp and Vc for fitness!</t>
  </si>
  <si>
    <t>Date1</t>
  </si>
  <si>
    <t>Date2</t>
  </si>
  <si>
    <t>S0</t>
  </si>
  <si>
    <t>S1</t>
  </si>
  <si>
    <t>S2</t>
  </si>
  <si>
    <t>P1</t>
  </si>
  <si>
    <t>V0</t>
  </si>
  <si>
    <t>PR</t>
  </si>
  <si>
    <t>LA</t>
  </si>
  <si>
    <t>VP</t>
  </si>
  <si>
    <t>for var lay date</t>
  </si>
  <si>
    <t>Date (days after 31 Dec)</t>
  </si>
  <si>
    <t>Flevoland mean</t>
  </si>
  <si>
    <t>Flevoland sd</t>
  </si>
  <si>
    <t>Flevoland n</t>
  </si>
  <si>
    <t>Lauwersmeer mean</t>
  </si>
  <si>
    <t>Lauwersmeer sd</t>
  </si>
  <si>
    <t>Lauwersmeer n</t>
  </si>
  <si>
    <t>Combined mean</t>
  </si>
  <si>
    <t>Combined sd</t>
  </si>
  <si>
    <t>Combined n</t>
  </si>
  <si>
    <t>#chicks</t>
  </si>
  <si>
    <t>#survivors to year 1</t>
  </si>
  <si>
    <t>for mean fitness</t>
  </si>
  <si>
    <t>for zbarstar</t>
  </si>
  <si>
    <t>for zbar</t>
  </si>
  <si>
    <t>76–85</t>
  </si>
  <si>
    <t>86–95</t>
  </si>
  <si>
    <t>96–105</t>
  </si>
  <si>
    <t>106–115</t>
  </si>
  <si>
    <t>116–125</t>
  </si>
  <si>
    <t>126–135</t>
  </si>
  <si>
    <t>136–145</t>
  </si>
  <si>
    <t>146–155</t>
  </si>
  <si>
    <t>156–165</t>
  </si>
  <si>
    <t>Overall</t>
  </si>
  <si>
    <t>mean lay date</t>
  </si>
  <si>
    <t>var lay date</t>
  </si>
  <si>
    <t>Total:</t>
  </si>
  <si>
    <t>based on survivors to year 1</t>
  </si>
  <si>
    <t>based on number chicks</t>
  </si>
  <si>
    <t xml:space="preserve">mean fitness </t>
  </si>
  <si>
    <t>sel diff</t>
  </si>
  <si>
    <t>sttd sel diff</t>
  </si>
  <si>
    <t>Year</t>
  </si>
  <si>
    <t>Laying date (1st egg)</t>
  </si>
  <si>
    <t>std dev</t>
  </si>
  <si>
    <t>Clutch size</t>
  </si>
  <si>
    <t>n</t>
  </si>
  <si>
    <t>Vole index</t>
  </si>
  <si>
    <t>Hellmann number</t>
  </si>
  <si>
    <t>Flevoland</t>
  </si>
  <si>
    <t>+</t>
  </si>
  <si>
    <t>-</t>
  </si>
  <si>
    <t>?</t>
  </si>
  <si>
    <t>Lauwersmeer</t>
  </si>
  <si>
    <t>(+)</t>
  </si>
  <si>
    <t>(-)</t>
  </si>
  <si>
    <t>(o)</t>
  </si>
  <si>
    <t>o</t>
  </si>
  <si>
    <t>hunting yields (Daan et al)</t>
  </si>
  <si>
    <t>tables from Beukeboom et al</t>
  </si>
  <si>
    <t>Y = -3 + 0.047</t>
  </si>
  <si>
    <t>about 4 voles/hour on average. Or 2 birds!</t>
  </si>
  <si>
    <t>argued for low herit, but only gave Va. Note: plasticity doesn't change but mean does.</t>
  </si>
  <si>
    <t>Symbol</t>
  </si>
  <si>
    <t>Meaning</t>
  </si>
  <si>
    <t>Breeding date</t>
  </si>
  <si>
    <t>Nutritional condition</t>
  </si>
  <si>
    <t>i</t>
  </si>
  <si>
    <t>Breeding date when nutritional condition is zero</t>
  </si>
  <si>
    <t>b</t>
  </si>
  <si>
    <t>Plastic response of breeding date to nutritional condition</t>
  </si>
  <si>
    <t>a</t>
  </si>
  <si>
    <t>Additive genetic value</t>
  </si>
  <si>
    <t>e</t>
  </si>
  <si>
    <t>Environmental value</t>
  </si>
  <si>
    <t>W</t>
  </si>
  <si>
    <t>Fitness</t>
  </si>
  <si>
    <t>α</t>
  </si>
  <si>
    <t>Effect of nutritional condition on fitness</t>
  </si>
  <si>
    <t>θ</t>
  </si>
  <si>
    <t>Optimal breeding date</t>
  </si>
  <si>
    <t>A</t>
  </si>
  <si>
    <t>Optimal breeding date when nutritional condition is zero</t>
  </si>
  <si>
    <t>B</t>
  </si>
  <si>
    <t>Effect of nutritional condition on optimal breeding date</t>
  </si>
  <si>
    <t>ω</t>
  </si>
  <si>
    <t>Strength of stabilising selection (larger values indicate weaker selection)</t>
  </si>
  <si>
    <t>β</t>
  </si>
  <si>
    <t>Selection gradient</t>
  </si>
  <si>
    <t>μ</t>
  </si>
  <si>
    <t>Mean (in the case of fitness an overbar is used)</t>
  </si>
  <si>
    <t>σ²</t>
  </si>
  <si>
    <t>Variance</t>
  </si>
  <si>
    <t>σ</t>
  </si>
  <si>
    <t>Covariance</t>
  </si>
  <si>
    <t>*</t>
  </si>
  <si>
    <t>Indicates a quantity at equilibrium</t>
  </si>
  <si>
    <t>Table 1. List of symbols. We follow Hadfield and Reed's (2022) notation as far as possible</t>
  </si>
  <si>
    <t>yhat</t>
  </si>
  <si>
    <t>days</t>
  </si>
  <si>
    <t>fitness</t>
  </si>
  <si>
    <t>eggs</t>
  </si>
  <si>
    <t>female offspring</t>
  </si>
  <si>
    <t>sample size</t>
  </si>
  <si>
    <t>frequency</t>
  </si>
  <si>
    <t>E(X2)</t>
  </si>
  <si>
    <t>E(X)2</t>
  </si>
  <si>
    <t>standard deviation</t>
  </si>
  <si>
    <t>voles in one hour how long does it take to ctch one vole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</si>
</sst>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8"/>
      <color theme="1"/>
      <name val="Frutiger"/>
    </font>
    <font>
      <sz val="9"/>
      <color rgb="FF211E1E"/>
      <name val="AdvOTd67905e7"/>
    </font>
    <font>
      <sz val="9"/>
      <color rgb="FF211E1E"/>
      <name val="AdvOT1513558b.I"/>
    </font>
    <font>
      <sz val="9"/>
      <color rgb="FF211E1E"/>
      <name val="AdvOT919a0533.B"/>
    </font>
    <font>
      <sz val="9"/>
      <color rgb="FF211E1E"/>
      <name val="AdvOTd67905e7+20"/>
    </font>
    <font>
      <sz val="12"/>
      <color rgb="FF000000"/>
      <name val="Aptos Narrow"/>
      <family val="2"/>
      <scheme val="minor"/>
    </font>
    <font>
      <sz val="10"/>
      <color rgb="FF4D4D4C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daniel!$B$1</c:f>
              <c:strCache>
                <c:ptCount val="1"/>
                <c:pt idx="0">
                  <c:v>yhat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daniel!$A$2:$A$17</c:f>
              <c:numCache>
                <c:formatCode>General</c:formatCode>
                <c:ptCount val="16"/>
                <c:pt idx="0">
                  <c:v>0.1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</c:numCache>
            </c:numRef>
          </c:xVal>
          <c:yVal>
            <c:numRef>
              <c:f>daniel!$B$2:$B$17</c:f>
              <c:numCache>
                <c:formatCode>General</c:formatCode>
                <c:ptCount val="16"/>
                <c:pt idx="0">
                  <c:v>1.9024984394500786</c:v>
                </c:pt>
                <c:pt idx="1">
                  <c:v>1.7223748416156683</c:v>
                </c:pt>
                <c:pt idx="2">
                  <c:v>1.48806130178211</c:v>
                </c:pt>
                <c:pt idx="3">
                  <c:v>1.2931712199461312</c:v>
                </c:pt>
                <c:pt idx="4">
                  <c:v>1.13238075793812</c:v>
                </c:pt>
                <c:pt idx="5">
                  <c:v>1</c:v>
                </c:pt>
                <c:pt idx="6">
                  <c:v>0.89072480941474219</c:v>
                </c:pt>
                <c:pt idx="7">
                  <c:v>0.79999999999999982</c:v>
                </c:pt>
                <c:pt idx="8">
                  <c:v>0.72409987036266177</c:v>
                </c:pt>
                <c:pt idx="9">
                  <c:v>0.66005952328228856</c:v>
                </c:pt>
                <c:pt idx="10">
                  <c:v>0.60555127546398912</c:v>
                </c:pt>
                <c:pt idx="11">
                  <c:v>0.55875627631494762</c:v>
                </c:pt>
                <c:pt idx="12">
                  <c:v>0.51825205639479988</c:v>
                </c:pt>
                <c:pt idx="13">
                  <c:v>0.48292140016222573</c:v>
                </c:pt>
                <c:pt idx="14">
                  <c:v>0.45188133984520285</c:v>
                </c:pt>
                <c:pt idx="15">
                  <c:v>0.42442890089805196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46-5942-923E-37D750C81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221328"/>
        <c:axId val="59223088"/>
      </c:scatterChart>
      <c:valAx>
        <c:axId val="27722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23088"/>
        <c:crosses val="autoZero"/>
        <c:crossBetween val="midCat"/>
      </c:valAx>
      <c:valAx>
        <c:axId val="592230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optmal lay date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7722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742950</xdr:colOff>
      <xdr:row>0</xdr:row>
      <xdr:rowOff>95250</xdr:rowOff>
    </xdr:from>
    <xdr:to>
      <xdr:col>9</xdr:col>
      <xdr:colOff>361950</xdr:colOff>
      <xdr:row>13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6B1B76-4DB6-BA77-F6E7-9560CD79A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482600</xdr:colOff>
      <xdr:row>18</xdr:row>
      <xdr:rowOff>198194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F828A5-47D2-9E34-B498-D8CED38B1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35600" cy="3855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074C-A87D-3E48-A39A-DE4868B4D776}">
  <dimension ref="A1:W20"/>
  <sheetViews>
    <sheetView workbookViewId="0">
      <selection activeCell="M2" sqref="M2"/>
    </sheetView>
  </sheetViews>
  <sheetFormatPr baseColWidth="10" defaultRowHeight="16"/>
  <cols>
    <col min="13" max="13" width="36.83203125" customWidth="1"/>
    <col min="14" max="15" width="17.5" customWidth="1"/>
  </cols>
  <sheetData>
    <row r="1" spans="1:23">
      <c r="A1" t="s">
        <v>4</v>
      </c>
      <c r="B1" t="s">
        <v>1</v>
      </c>
      <c r="C1" t="s">
        <v>2</v>
      </c>
      <c r="H1" t="s">
        <v>20</v>
      </c>
      <c r="I1" t="s">
        <v>10</v>
      </c>
      <c r="J1" t="s">
        <v>3</v>
      </c>
      <c r="L1" t="s">
        <v>1</v>
      </c>
      <c r="M1" t="s">
        <v>39</v>
      </c>
      <c r="N1" t="s">
        <v>5</v>
      </c>
      <c r="O1" t="s">
        <v>21</v>
      </c>
      <c r="P1" t="s">
        <v>6</v>
      </c>
      <c r="Q1" t="s">
        <v>12</v>
      </c>
      <c r="R1" t="s">
        <v>8</v>
      </c>
      <c r="S1" t="s">
        <v>15</v>
      </c>
      <c r="U1" t="s">
        <v>13</v>
      </c>
      <c r="V1" t="s">
        <v>11</v>
      </c>
    </row>
    <row r="2" spans="1:23">
      <c r="B2">
        <v>102</v>
      </c>
      <c r="C2">
        <v>12.6</v>
      </c>
      <c r="H2">
        <f>2*I2</f>
        <v>9.6</v>
      </c>
      <c r="I2">
        <v>4.8</v>
      </c>
      <c r="J2">
        <v>8</v>
      </c>
      <c r="K2">
        <f t="shared" ref="K2:K8" si="0">J2*P2/746</f>
        <v>1.0723860589812333E-2</v>
      </c>
      <c r="L2">
        <v>89.179254935651898</v>
      </c>
      <c r="M2">
        <f t="shared" ref="M2:M8" si="1">L2*P2/746</f>
        <v>0.11954323717915805</v>
      </c>
      <c r="N2">
        <f>-0.0545*L2+18.164</f>
        <v>13.303730606006972</v>
      </c>
      <c r="O2">
        <f>N2+I2</f>
        <v>18.103730606006973</v>
      </c>
      <c r="P2">
        <v>1</v>
      </c>
      <c r="Q2">
        <f>O2*P2/$P$9</f>
        <v>2.4267735396792188E-2</v>
      </c>
      <c r="R2">
        <f>O2/$Q$9</f>
        <v>1.3122660558132495</v>
      </c>
      <c r="S2">
        <f t="shared" ref="S2:S8" si="2">R2*L2*P2/746</f>
        <v>0.15687253235224152</v>
      </c>
      <c r="U2">
        <f t="shared" ref="U2:U8" si="3">H2*P2/746</f>
        <v>1.2868632707774798E-2</v>
      </c>
      <c r="V2">
        <f>H2/$U$9</f>
        <v>2.1083372585963258</v>
      </c>
      <c r="W2">
        <f t="shared" ref="W2:W8" si="4">L2*V2*P2/746</f>
        <v>0.25203746095803642</v>
      </c>
    </row>
    <row r="3" spans="1:23">
      <c r="B3">
        <v>135</v>
      </c>
      <c r="C3">
        <v>10.8</v>
      </c>
      <c r="H3">
        <f t="shared" ref="H3:H8" si="5">2*I3</f>
        <v>7.4</v>
      </c>
      <c r="I3">
        <v>3.7</v>
      </c>
      <c r="J3">
        <v>7</v>
      </c>
      <c r="K3">
        <f t="shared" si="0"/>
        <v>0.31903485254691688</v>
      </c>
      <c r="L3">
        <v>105.097676908531</v>
      </c>
      <c r="M3">
        <f t="shared" si="1"/>
        <v>4.7899745507909568</v>
      </c>
      <c r="N3">
        <f t="shared" ref="N3:N8" si="6">-0.0545*L3+18.164</f>
        <v>12.436176608485063</v>
      </c>
      <c r="O3">
        <f t="shared" ref="O3:O8" si="7">N3+I3</f>
        <v>16.136176608485062</v>
      </c>
      <c r="P3">
        <v>34</v>
      </c>
      <c r="Q3">
        <f t="shared" ref="Q3:Q8" si="8">O3*P3/$P$9</f>
        <v>0.73542896070843455</v>
      </c>
      <c r="R3">
        <f t="shared" ref="R3:R8" si="9">O3/$Q$9</f>
        <v>1.1696460411809639</v>
      </c>
      <c r="S3">
        <f t="shared" si="2"/>
        <v>5.6025747706902091</v>
      </c>
      <c r="U3">
        <f t="shared" si="3"/>
        <v>0.33726541554959788</v>
      </c>
      <c r="V3">
        <f t="shared" ref="V3:V8" si="10">H3/$U$9</f>
        <v>1.6251766368346681</v>
      </c>
      <c r="W3">
        <f t="shared" si="4"/>
        <v>7.7845547309780976</v>
      </c>
    </row>
    <row r="4" spans="1:23">
      <c r="H4">
        <f t="shared" si="5"/>
        <v>6</v>
      </c>
      <c r="I4">
        <v>3</v>
      </c>
      <c r="J4">
        <v>6</v>
      </c>
      <c r="K4">
        <f t="shared" si="0"/>
        <v>2.3002680965147455</v>
      </c>
      <c r="L4">
        <v>111.999171095406</v>
      </c>
      <c r="M4">
        <f t="shared" si="1"/>
        <v>42.938020017809805</v>
      </c>
      <c r="N4">
        <f t="shared" si="6"/>
        <v>12.060045175300374</v>
      </c>
      <c r="O4">
        <f t="shared" si="7"/>
        <v>15.060045175300374</v>
      </c>
      <c r="P4">
        <v>286</v>
      </c>
      <c r="Q4">
        <f t="shared" si="8"/>
        <v>5.7736902414690441</v>
      </c>
      <c r="R4">
        <f t="shared" si="9"/>
        <v>1.0916416352330893</v>
      </c>
      <c r="S4">
        <f t="shared" si="2"/>
        <v>46.872930385913023</v>
      </c>
      <c r="U4">
        <f t="shared" si="3"/>
        <v>2.3002680965147455</v>
      </c>
      <c r="V4">
        <f t="shared" si="10"/>
        <v>1.3177107866227038</v>
      </c>
      <c r="W4">
        <f t="shared" si="4"/>
        <v>56.579892133689569</v>
      </c>
    </row>
    <row r="5" spans="1:23">
      <c r="B5" t="s">
        <v>26</v>
      </c>
      <c r="H5">
        <f t="shared" si="5"/>
        <v>4</v>
      </c>
      <c r="I5">
        <v>2</v>
      </c>
      <c r="J5">
        <v>5</v>
      </c>
      <c r="K5">
        <f t="shared" si="0"/>
        <v>1.7895442359249329</v>
      </c>
      <c r="L5">
        <v>124.857985330115</v>
      </c>
      <c r="M5">
        <f t="shared" si="1"/>
        <v>44.687777591341423</v>
      </c>
      <c r="N5">
        <f t="shared" si="6"/>
        <v>11.359239799508735</v>
      </c>
      <c r="O5">
        <f t="shared" si="7"/>
        <v>13.359239799508735</v>
      </c>
      <c r="P5">
        <v>267</v>
      </c>
      <c r="Q5">
        <f t="shared" si="8"/>
        <v>4.7813901159099625</v>
      </c>
      <c r="R5">
        <f t="shared" si="9"/>
        <v>0.96835714703729736</v>
      </c>
      <c r="S5">
        <f t="shared" si="2"/>
        <v>43.273728815788658</v>
      </c>
      <c r="U5">
        <f t="shared" si="3"/>
        <v>1.4316353887399464</v>
      </c>
      <c r="V5">
        <f t="shared" si="10"/>
        <v>0.8784738577484692</v>
      </c>
      <c r="W5">
        <f t="shared" si="4"/>
        <v>39.257044374871306</v>
      </c>
    </row>
    <row r="6" spans="1:23">
      <c r="H6">
        <f t="shared" si="5"/>
        <v>2.4</v>
      </c>
      <c r="I6">
        <v>1.2</v>
      </c>
      <c r="J6">
        <v>4</v>
      </c>
      <c r="K6">
        <f t="shared" si="0"/>
        <v>0.71849865951742631</v>
      </c>
      <c r="L6">
        <v>137.07310334108899</v>
      </c>
      <c r="M6">
        <f t="shared" si="1"/>
        <v>24.621710251616523</v>
      </c>
      <c r="N6">
        <f t="shared" si="6"/>
        <v>10.693515867910651</v>
      </c>
      <c r="O6">
        <f t="shared" si="7"/>
        <v>11.893515867910651</v>
      </c>
      <c r="P6">
        <v>134</v>
      </c>
      <c r="Q6">
        <f t="shared" si="8"/>
        <v>2.1363688020107605</v>
      </c>
      <c r="R6">
        <f t="shared" si="9"/>
        <v>0.86211275992787473</v>
      </c>
      <c r="S6">
        <f t="shared" si="2"/>
        <v>21.226690579165567</v>
      </c>
      <c r="U6">
        <f t="shared" si="3"/>
        <v>0.43109919571045574</v>
      </c>
      <c r="V6">
        <f t="shared" si="10"/>
        <v>0.52708431464908145</v>
      </c>
      <c r="W6">
        <f t="shared" si="4"/>
        <v>12.977717273461559</v>
      </c>
    </row>
    <row r="7" spans="1:23">
      <c r="H7">
        <f t="shared" si="5"/>
        <v>1.4</v>
      </c>
      <c r="I7">
        <v>0.7</v>
      </c>
      <c r="J7">
        <v>3</v>
      </c>
      <c r="K7">
        <f t="shared" si="0"/>
        <v>7.2386058981233251E-2</v>
      </c>
      <c r="L7">
        <v>146.06844506996001</v>
      </c>
      <c r="M7">
        <f t="shared" si="1"/>
        <v>3.524439693377051</v>
      </c>
      <c r="N7">
        <f t="shared" si="6"/>
        <v>10.20326974368718</v>
      </c>
      <c r="O7">
        <f t="shared" si="7"/>
        <v>10.903269743687179</v>
      </c>
      <c r="P7">
        <v>18</v>
      </c>
      <c r="Q7">
        <f t="shared" si="8"/>
        <v>0.26308157558494533</v>
      </c>
      <c r="R7">
        <f t="shared" si="9"/>
        <v>0.7903338319268185</v>
      </c>
      <c r="S7">
        <f t="shared" si="2"/>
        <v>2.7854839282616659</v>
      </c>
      <c r="U7">
        <f t="shared" si="3"/>
        <v>3.3780160857908845E-2</v>
      </c>
      <c r="V7">
        <f t="shared" si="10"/>
        <v>0.30746585021196421</v>
      </c>
      <c r="W7">
        <f t="shared" si="4"/>
        <v>1.0836448468449695</v>
      </c>
    </row>
    <row r="8" spans="1:23">
      <c r="H8">
        <f t="shared" si="5"/>
        <v>0.8</v>
      </c>
      <c r="I8">
        <v>0.4</v>
      </c>
      <c r="J8">
        <v>2</v>
      </c>
      <c r="K8">
        <f t="shared" si="0"/>
        <v>1.6085790884718499E-2</v>
      </c>
      <c r="L8">
        <v>154.57982739788699</v>
      </c>
      <c r="M8">
        <f t="shared" si="1"/>
        <v>1.2432693892591447</v>
      </c>
      <c r="N8">
        <f t="shared" si="6"/>
        <v>9.7393994068151599</v>
      </c>
      <c r="O8">
        <f t="shared" si="7"/>
        <v>10.13939940681516</v>
      </c>
      <c r="P8">
        <v>6</v>
      </c>
      <c r="Q8">
        <f t="shared" si="8"/>
        <v>8.1550129277333738E-2</v>
      </c>
      <c r="R8">
        <f t="shared" si="9"/>
        <v>0.73496396723234625</v>
      </c>
      <c r="S8">
        <f t="shared" si="2"/>
        <v>0.9137582026684371</v>
      </c>
      <c r="U8">
        <f t="shared" si="3"/>
        <v>6.4343163538874001E-3</v>
      </c>
      <c r="V8">
        <f t="shared" si="10"/>
        <v>0.17569477154969385</v>
      </c>
      <c r="W8">
        <f t="shared" si="4"/>
        <v>0.21843593132061281</v>
      </c>
    </row>
    <row r="9" spans="1:23">
      <c r="K9">
        <f>SUM(K2:K8)</f>
        <v>5.2265415549597849</v>
      </c>
      <c r="M9">
        <f>SUM(M2:M8)</f>
        <v>121.92473473137404</v>
      </c>
      <c r="P9">
        <f>SUM(P2:P8)</f>
        <v>746</v>
      </c>
      <c r="Q9">
        <f>SUM(Q2:Q8)</f>
        <v>13.795777560357273</v>
      </c>
      <c r="S9">
        <f>SUM(S2:S8)</f>
        <v>120.8320392148398</v>
      </c>
      <c r="U9">
        <f>SUM(U2:U8)</f>
        <v>4.553351206434316</v>
      </c>
      <c r="W9">
        <f>SUM(W2:W8)</f>
        <v>118.15332675212417</v>
      </c>
    </row>
    <row r="10" spans="1:23">
      <c r="K10" t="s">
        <v>9</v>
      </c>
      <c r="Q10" t="s">
        <v>7</v>
      </c>
      <c r="U10" t="s">
        <v>7</v>
      </c>
    </row>
    <row r="12" spans="1:23">
      <c r="J12" t="s">
        <v>1</v>
      </c>
      <c r="K12" t="s">
        <v>17</v>
      </c>
    </row>
    <row r="13" spans="1:23">
      <c r="J13">
        <v>89.179254935651898</v>
      </c>
      <c r="K13">
        <f t="shared" ref="K13:K19" si="11">POWER(L2-$M$9, 2)*P2/746</f>
        <v>1.4373544866649428</v>
      </c>
    </row>
    <row r="14" spans="1:23">
      <c r="J14">
        <v>105.097676908531</v>
      </c>
      <c r="K14">
        <f t="shared" si="11"/>
        <v>12.904954087255112</v>
      </c>
    </row>
    <row r="15" spans="1:23">
      <c r="J15">
        <v>111.999171095406</v>
      </c>
      <c r="K15">
        <f t="shared" si="11"/>
        <v>37.769180507523124</v>
      </c>
    </row>
    <row r="16" spans="1:23">
      <c r="J16">
        <v>124.857985330115</v>
      </c>
      <c r="K16">
        <f t="shared" si="11"/>
        <v>3.0794330737651245</v>
      </c>
      <c r="N16" t="s">
        <v>19</v>
      </c>
    </row>
    <row r="17" spans="10:14">
      <c r="J17">
        <v>137.07310334108899</v>
      </c>
      <c r="K17">
        <f t="shared" si="11"/>
        <v>41.219023573454194</v>
      </c>
    </row>
    <row r="18" spans="10:14">
      <c r="J18">
        <v>146.06844506996001</v>
      </c>
      <c r="K18">
        <f t="shared" si="11"/>
        <v>14.065063646707465</v>
      </c>
    </row>
    <row r="19" spans="10:14">
      <c r="J19">
        <v>154.57982739788699</v>
      </c>
      <c r="K19">
        <f t="shared" si="11"/>
        <v>8.5765823892108362</v>
      </c>
    </row>
    <row r="20" spans="10:14">
      <c r="K20">
        <f>SQRT(SUM(K13:K19))</f>
        <v>10.911076563042752</v>
      </c>
      <c r="M20" t="s">
        <v>18</v>
      </c>
      <c r="N20">
        <f>(M9-W9)/K20</f>
        <v>0.34564948357379566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7EF57-F5A9-A44F-9DD1-57AE637801AC}">
  <dimension ref="A1:H2"/>
  <sheetViews>
    <sheetView workbookViewId="0">
      <selection activeCell="E15" sqref="E15"/>
    </sheetView>
  </sheetViews>
  <sheetFormatPr baseColWidth="10" defaultRowHeight="16"/>
  <sheetData>
    <row r="1" spans="1:8">
      <c r="A1" s="1" t="s">
        <v>22</v>
      </c>
      <c r="H1" t="s">
        <v>23</v>
      </c>
    </row>
    <row r="2" spans="1:8">
      <c r="A2" t="s">
        <v>25</v>
      </c>
      <c r="H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8EA29-C4CD-B646-9BCC-32965B3BD1C4}">
  <dimension ref="A1:E7"/>
  <sheetViews>
    <sheetView workbookViewId="0">
      <selection activeCell="B15" sqref="B15"/>
    </sheetView>
  </sheetViews>
  <sheetFormatPr baseColWidth="10" defaultRowHeight="16"/>
  <sheetData>
    <row r="1" spans="1:5">
      <c r="A1">
        <v>0.4</v>
      </c>
      <c r="B1" t="s">
        <v>27</v>
      </c>
    </row>
    <row r="2" spans="1:5">
      <c r="A2">
        <v>0.33</v>
      </c>
      <c r="B2" t="s">
        <v>28</v>
      </c>
    </row>
    <row r="3" spans="1:5">
      <c r="A3" t="s">
        <v>29</v>
      </c>
      <c r="B3" t="s">
        <v>30</v>
      </c>
    </row>
    <row r="4" spans="1:5">
      <c r="A4">
        <v>0.28000000000000003</v>
      </c>
      <c r="B4" t="s">
        <v>31</v>
      </c>
      <c r="C4" t="s">
        <v>34</v>
      </c>
    </row>
    <row r="5" spans="1:5">
      <c r="A5" t="s">
        <v>32</v>
      </c>
      <c r="B5" t="s">
        <v>33</v>
      </c>
      <c r="C5" t="s">
        <v>35</v>
      </c>
    </row>
    <row r="6" spans="1:5">
      <c r="A6">
        <v>0.12</v>
      </c>
      <c r="B6" t="s">
        <v>37</v>
      </c>
      <c r="C6" t="s">
        <v>36</v>
      </c>
    </row>
    <row r="7" spans="1:5">
      <c r="A7" t="s">
        <v>104</v>
      </c>
      <c r="E7" s="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CA6B-174C-9C41-915F-7B5531A0CE81}">
  <dimension ref="A1:K42"/>
  <sheetViews>
    <sheetView workbookViewId="0">
      <selection activeCell="K2" sqref="K2:K42"/>
    </sheetView>
  </sheetViews>
  <sheetFormatPr baseColWidth="10" defaultRowHeight="16"/>
  <sheetData>
    <row r="1" spans="1:11">
      <c r="A1" t="s">
        <v>88</v>
      </c>
      <c r="B1" t="s">
        <v>140</v>
      </c>
      <c r="K1" t="s">
        <v>0</v>
      </c>
    </row>
    <row r="2" spans="1:11">
      <c r="A2">
        <v>0.1</v>
      </c>
      <c r="B2">
        <f>(-A2+SQRT(A2*A2 + 4))</f>
        <v>1.9024984394500786</v>
      </c>
      <c r="K2">
        <v>-2</v>
      </c>
    </row>
    <row r="3" spans="1:11">
      <c r="A3">
        <v>0.3</v>
      </c>
      <c r="B3">
        <f t="shared" ref="B3:B17" si="0">(-A3+SQRT(A3*A3 + 4))</f>
        <v>1.7223748416156683</v>
      </c>
      <c r="K3">
        <v>-1.9</v>
      </c>
    </row>
    <row r="4" spans="1:11">
      <c r="A4">
        <v>0.6</v>
      </c>
      <c r="B4">
        <f t="shared" si="0"/>
        <v>1.48806130178211</v>
      </c>
      <c r="K4">
        <v>-1.8</v>
      </c>
    </row>
    <row r="5" spans="1:11">
      <c r="A5">
        <v>0.9</v>
      </c>
      <c r="B5">
        <f t="shared" si="0"/>
        <v>1.2931712199461312</v>
      </c>
      <c r="K5">
        <v>-1.7</v>
      </c>
    </row>
    <row r="6" spans="1:11">
      <c r="A6">
        <v>1.2</v>
      </c>
      <c r="B6">
        <f t="shared" si="0"/>
        <v>1.13238075793812</v>
      </c>
      <c r="K6">
        <v>-1.6</v>
      </c>
    </row>
    <row r="7" spans="1:11">
      <c r="A7">
        <v>1.5</v>
      </c>
      <c r="B7">
        <f t="shared" si="0"/>
        <v>1</v>
      </c>
      <c r="K7">
        <v>-1.5</v>
      </c>
    </row>
    <row r="8" spans="1:11">
      <c r="A8">
        <v>1.8</v>
      </c>
      <c r="B8">
        <f t="shared" si="0"/>
        <v>0.89072480941474219</v>
      </c>
      <c r="K8">
        <v>-1.4</v>
      </c>
    </row>
    <row r="9" spans="1:11">
      <c r="A9">
        <v>2.1</v>
      </c>
      <c r="B9">
        <f t="shared" si="0"/>
        <v>0.79999999999999982</v>
      </c>
      <c r="K9">
        <v>-1.3</v>
      </c>
    </row>
    <row r="10" spans="1:11">
      <c r="A10">
        <v>2.4</v>
      </c>
      <c r="B10">
        <f t="shared" si="0"/>
        <v>0.72409987036266177</v>
      </c>
      <c r="K10">
        <v>-1.2</v>
      </c>
    </row>
    <row r="11" spans="1:11">
      <c r="A11">
        <v>2.7</v>
      </c>
      <c r="B11">
        <f t="shared" si="0"/>
        <v>0.66005952328228856</v>
      </c>
      <c r="K11">
        <v>-1.1000000000000001</v>
      </c>
    </row>
    <row r="12" spans="1:11">
      <c r="A12">
        <v>3</v>
      </c>
      <c r="B12">
        <f t="shared" si="0"/>
        <v>0.60555127546398912</v>
      </c>
      <c r="K12">
        <v>-1</v>
      </c>
    </row>
    <row r="13" spans="1:11">
      <c r="A13">
        <v>3.3</v>
      </c>
      <c r="B13">
        <f t="shared" si="0"/>
        <v>0.55875627631494762</v>
      </c>
      <c r="K13">
        <v>-0.9</v>
      </c>
    </row>
    <row r="14" spans="1:11">
      <c r="A14">
        <v>3.6</v>
      </c>
      <c r="B14">
        <f t="shared" si="0"/>
        <v>0.51825205639479988</v>
      </c>
      <c r="K14">
        <v>-0.8</v>
      </c>
    </row>
    <row r="15" spans="1:11">
      <c r="A15">
        <v>3.9</v>
      </c>
      <c r="B15">
        <f t="shared" si="0"/>
        <v>0.48292140016222573</v>
      </c>
      <c r="K15">
        <v>-0.7</v>
      </c>
    </row>
    <row r="16" spans="1:11">
      <c r="A16">
        <v>4.2</v>
      </c>
      <c r="B16">
        <f t="shared" si="0"/>
        <v>0.45188133984520285</v>
      </c>
      <c r="K16">
        <v>-0.6</v>
      </c>
    </row>
    <row r="17" spans="1:11">
      <c r="A17">
        <v>4.5</v>
      </c>
      <c r="B17">
        <f t="shared" si="0"/>
        <v>0.42442890089805196</v>
      </c>
      <c r="K17">
        <v>-0.5</v>
      </c>
    </row>
    <row r="18" spans="1:11">
      <c r="K18">
        <v>-0.4</v>
      </c>
    </row>
    <row r="19" spans="1:11">
      <c r="K19">
        <v>-0.3</v>
      </c>
    </row>
    <row r="20" spans="1:11">
      <c r="K20">
        <v>-0.2</v>
      </c>
    </row>
    <row r="21" spans="1:11">
      <c r="K21">
        <v>-0.1</v>
      </c>
    </row>
    <row r="22" spans="1:11">
      <c r="K22">
        <v>0</v>
      </c>
    </row>
    <row r="23" spans="1:11">
      <c r="K23">
        <v>0.1</v>
      </c>
    </row>
    <row r="24" spans="1:11">
      <c r="K24">
        <v>0.2</v>
      </c>
    </row>
    <row r="25" spans="1:11">
      <c r="K25">
        <v>0.3</v>
      </c>
    </row>
    <row r="26" spans="1:11">
      <c r="K26">
        <v>0.4</v>
      </c>
    </row>
    <row r="27" spans="1:11">
      <c r="K27">
        <v>0.5</v>
      </c>
    </row>
    <row r="28" spans="1:11">
      <c r="K28">
        <v>0.6</v>
      </c>
    </row>
    <row r="29" spans="1:11">
      <c r="K29">
        <v>0.7</v>
      </c>
    </row>
    <row r="30" spans="1:11">
      <c r="K30">
        <v>0.8</v>
      </c>
    </row>
    <row r="31" spans="1:11">
      <c r="K31">
        <v>0.9</v>
      </c>
    </row>
    <row r="32" spans="1:11">
      <c r="K32">
        <v>1</v>
      </c>
    </row>
    <row r="33" spans="11:11">
      <c r="K33">
        <v>1.1000000000000001</v>
      </c>
    </row>
    <row r="34" spans="11:11">
      <c r="K34">
        <v>1.2</v>
      </c>
    </row>
    <row r="35" spans="11:11">
      <c r="K35">
        <v>1.3</v>
      </c>
    </row>
    <row r="36" spans="11:11">
      <c r="K36">
        <v>1.4</v>
      </c>
    </row>
    <row r="37" spans="11:11">
      <c r="K37">
        <v>1.5</v>
      </c>
    </row>
    <row r="38" spans="11:11">
      <c r="K38">
        <v>1.6</v>
      </c>
    </row>
    <row r="39" spans="11:11">
      <c r="K39">
        <v>1.7</v>
      </c>
    </row>
    <row r="40" spans="11:11">
      <c r="K40">
        <v>1.8</v>
      </c>
    </row>
    <row r="41" spans="11:11">
      <c r="K41">
        <v>1.9</v>
      </c>
    </row>
    <row r="42" spans="11:11">
      <c r="K42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A533-546A-7C4A-8415-0CA0F9ACD7FF}">
  <dimension ref="A1:B19"/>
  <sheetViews>
    <sheetView workbookViewId="0">
      <selection activeCell="K21" sqref="K21"/>
    </sheetView>
  </sheetViews>
  <sheetFormatPr baseColWidth="10" defaultRowHeight="16"/>
  <sheetData>
    <row r="1" spans="1:2">
      <c r="A1" t="s">
        <v>139</v>
      </c>
    </row>
    <row r="2" spans="1:2">
      <c r="A2" s="4" t="s">
        <v>105</v>
      </c>
      <c r="B2" t="s">
        <v>106</v>
      </c>
    </row>
    <row r="3" spans="1:2">
      <c r="A3" s="4" t="s">
        <v>0</v>
      </c>
      <c r="B3" t="s">
        <v>107</v>
      </c>
    </row>
    <row r="4" spans="1:2">
      <c r="A4" s="4" t="s">
        <v>88</v>
      </c>
      <c r="B4" t="s">
        <v>108</v>
      </c>
    </row>
    <row r="5" spans="1:2">
      <c r="A5" s="4" t="s">
        <v>109</v>
      </c>
      <c r="B5" t="s">
        <v>110</v>
      </c>
    </row>
    <row r="6" spans="1:2">
      <c r="A6" s="4" t="s">
        <v>111</v>
      </c>
      <c r="B6" t="s">
        <v>112</v>
      </c>
    </row>
    <row r="7" spans="1:2">
      <c r="A7" s="4" t="s">
        <v>113</v>
      </c>
      <c r="B7" t="s">
        <v>114</v>
      </c>
    </row>
    <row r="8" spans="1:2">
      <c r="A8" s="4" t="s">
        <v>115</v>
      </c>
      <c r="B8" t="s">
        <v>116</v>
      </c>
    </row>
    <row r="9" spans="1:2">
      <c r="A9" s="4" t="s">
        <v>117</v>
      </c>
      <c r="B9" t="s">
        <v>118</v>
      </c>
    </row>
    <row r="10" spans="1:2">
      <c r="A10" s="4" t="s">
        <v>119</v>
      </c>
      <c r="B10" t="s">
        <v>120</v>
      </c>
    </row>
    <row r="11" spans="1:2">
      <c r="A11" s="4" t="s">
        <v>121</v>
      </c>
      <c r="B11" t="s">
        <v>122</v>
      </c>
    </row>
    <row r="12" spans="1:2">
      <c r="A12" s="4" t="s">
        <v>123</v>
      </c>
      <c r="B12" t="s">
        <v>124</v>
      </c>
    </row>
    <row r="13" spans="1:2">
      <c r="A13" s="4" t="s">
        <v>125</v>
      </c>
      <c r="B13" t="s">
        <v>126</v>
      </c>
    </row>
    <row r="14" spans="1:2">
      <c r="A14" s="4" t="s">
        <v>127</v>
      </c>
      <c r="B14" t="s">
        <v>128</v>
      </c>
    </row>
    <row r="15" spans="1:2">
      <c r="A15" s="4" t="s">
        <v>129</v>
      </c>
      <c r="B15" t="s">
        <v>130</v>
      </c>
    </row>
    <row r="16" spans="1:2">
      <c r="A16" s="4" t="s">
        <v>131</v>
      </c>
      <c r="B16" t="s">
        <v>132</v>
      </c>
    </row>
    <row r="17" spans="1:2">
      <c r="A17" s="4" t="s">
        <v>133</v>
      </c>
      <c r="B17" t="s">
        <v>134</v>
      </c>
    </row>
    <row r="18" spans="1:2">
      <c r="A18" s="4" t="s">
        <v>135</v>
      </c>
      <c r="B18" t="s">
        <v>136</v>
      </c>
    </row>
    <row r="19" spans="1:2">
      <c r="A19" s="4" t="s">
        <v>137</v>
      </c>
      <c r="B19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CC41-4F38-3548-913E-1F7BF4DEE803}">
  <dimension ref="H1:I5"/>
  <sheetViews>
    <sheetView workbookViewId="0">
      <selection activeCell="I22" sqref="I22"/>
    </sheetView>
  </sheetViews>
  <sheetFormatPr baseColWidth="10" defaultRowHeight="16"/>
  <sheetData>
    <row r="1" spans="8:9">
      <c r="H1" t="s">
        <v>141</v>
      </c>
      <c r="I1" t="s">
        <v>142</v>
      </c>
    </row>
    <row r="2" spans="8:9">
      <c r="H2">
        <v>25</v>
      </c>
      <c r="I2">
        <v>0.8</v>
      </c>
    </row>
    <row r="3" spans="8:9">
      <c r="H3">
        <v>75</v>
      </c>
      <c r="I3">
        <v>0.94</v>
      </c>
    </row>
    <row r="4" spans="8:9">
      <c r="H4">
        <v>125</v>
      </c>
      <c r="I4">
        <v>0.86</v>
      </c>
    </row>
    <row r="5" spans="8:9">
      <c r="H5">
        <v>175</v>
      </c>
      <c r="I5">
        <v>0.77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EA51A-919E-D949-8569-18C9EA7A36A8}">
  <dimension ref="A1:AL19"/>
  <sheetViews>
    <sheetView topLeftCell="AA1" workbookViewId="0">
      <selection activeCell="D22" sqref="D22"/>
    </sheetView>
  </sheetViews>
  <sheetFormatPr baseColWidth="10" defaultRowHeight="16"/>
  <cols>
    <col min="28" max="28" width="18.83203125" customWidth="1"/>
    <col min="34" max="34" width="18.6640625" customWidth="1"/>
  </cols>
  <sheetData>
    <row r="1" spans="1:38">
      <c r="A1" t="s">
        <v>101</v>
      </c>
    </row>
    <row r="2" spans="1:38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6</v>
      </c>
      <c r="I2" t="s">
        <v>47</v>
      </c>
      <c r="J2" t="s">
        <v>48</v>
      </c>
      <c r="K2" t="s">
        <v>49</v>
      </c>
      <c r="N2" t="s">
        <v>16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3</v>
      </c>
      <c r="AA2" t="s">
        <v>61</v>
      </c>
      <c r="AB2" t="s">
        <v>62</v>
      </c>
      <c r="AC2" t="s">
        <v>63</v>
      </c>
      <c r="AD2" t="s">
        <v>14</v>
      </c>
      <c r="AE2" t="s">
        <v>64</v>
      </c>
      <c r="AF2" t="s">
        <v>65</v>
      </c>
      <c r="AH2" t="s">
        <v>61</v>
      </c>
      <c r="AI2" t="s">
        <v>63</v>
      </c>
      <c r="AJ2" t="s">
        <v>14</v>
      </c>
      <c r="AK2" t="s">
        <v>64</v>
      </c>
      <c r="AL2" t="s">
        <v>65</v>
      </c>
    </row>
    <row r="3" spans="1:38">
      <c r="A3">
        <v>76</v>
      </c>
      <c r="B3">
        <v>85</v>
      </c>
      <c r="C3">
        <v>0.84599999999999997</v>
      </c>
      <c r="D3">
        <v>0.38100000000000001</v>
      </c>
      <c r="E3">
        <v>0.437</v>
      </c>
      <c r="G3">
        <v>1.27</v>
      </c>
      <c r="H3">
        <v>1</v>
      </c>
      <c r="J3">
        <v>0.5</v>
      </c>
      <c r="K3">
        <v>7.7</v>
      </c>
      <c r="M3">
        <f>MEDIAN(A3:B3)</f>
        <v>80.5</v>
      </c>
      <c r="N3">
        <f>M3*Y3/697</f>
        <v>0.23098995695839311</v>
      </c>
      <c r="O3">
        <f>POWER((M3-$N$13),2)*Y3/697</f>
        <v>3.8377027408847626</v>
      </c>
      <c r="P3" t="s">
        <v>66</v>
      </c>
      <c r="Q3">
        <v>6.5</v>
      </c>
      <c r="R3">
        <v>0.71</v>
      </c>
      <c r="S3">
        <v>2</v>
      </c>
      <c r="T3">
        <v>6.25</v>
      </c>
      <c r="V3">
        <v>4</v>
      </c>
      <c r="W3">
        <v>6.5</v>
      </c>
      <c r="X3">
        <v>0.71</v>
      </c>
      <c r="Y3">
        <v>2</v>
      </c>
      <c r="Z3">
        <f>(Q3*S3+T3*V3)/(S3+V3)</f>
        <v>6.333333333333333</v>
      </c>
      <c r="AA3">
        <f>Z3*C3</f>
        <v>5.3579999999999997</v>
      </c>
      <c r="AB3">
        <f>Z3*C3*D3</f>
        <v>2.041398</v>
      </c>
      <c r="AC3">
        <f>AB3*Y3/697</f>
        <v>5.8576700143472028E-3</v>
      </c>
      <c r="AD3">
        <f>AB3/$AC$13</f>
        <v>1.4933764857512226</v>
      </c>
      <c r="AE3">
        <f>AD3*M3*Y3/697</f>
        <v>0.34495497016635129</v>
      </c>
      <c r="AF3">
        <f>M3*Y3/697</f>
        <v>0.23098995695839311</v>
      </c>
      <c r="AH3">
        <v>5.3579999999999997</v>
      </c>
      <c r="AI3">
        <f>AH3*Y3/697</f>
        <v>1.5374461979913916E-2</v>
      </c>
      <c r="AJ3">
        <f>AH3/$AI$13</f>
        <v>1.5391128444705913</v>
      </c>
      <c r="AK3">
        <f>AJ3*M3*Y3/697</f>
        <v>0.35551960969837187</v>
      </c>
      <c r="AL3">
        <f>M3*Y3/697</f>
        <v>0.23098995695839311</v>
      </c>
    </row>
    <row r="4" spans="1:38">
      <c r="A4">
        <v>86</v>
      </c>
      <c r="B4">
        <v>95</v>
      </c>
      <c r="C4">
        <v>0.69</v>
      </c>
      <c r="D4">
        <v>0.442</v>
      </c>
      <c r="E4">
        <v>0.47</v>
      </c>
      <c r="F4">
        <v>0.95</v>
      </c>
      <c r="G4">
        <v>1.04</v>
      </c>
      <c r="H4">
        <v>0.94199999999999995</v>
      </c>
      <c r="I4">
        <v>0.25</v>
      </c>
      <c r="J4">
        <v>0.56399999999999995</v>
      </c>
      <c r="K4">
        <v>7.77</v>
      </c>
      <c r="M4">
        <f t="shared" ref="M4:M11" si="0">MEDIAN(A4:B4)</f>
        <v>90.5</v>
      </c>
      <c r="N4">
        <f t="shared" ref="N4:N11" si="1">M4*Y4/697</f>
        <v>7.0114777618364421</v>
      </c>
      <c r="O4">
        <f t="shared" ref="O4:O11" si="2">POWER((M4-$N$13),2)*Y4/697</f>
        <v>54.698748546970329</v>
      </c>
      <c r="P4" t="s">
        <v>67</v>
      </c>
      <c r="Q4">
        <v>5.98</v>
      </c>
      <c r="R4">
        <v>0.69</v>
      </c>
      <c r="S4">
        <v>50</v>
      </c>
      <c r="T4">
        <v>6</v>
      </c>
      <c r="U4">
        <v>0.5</v>
      </c>
      <c r="V4">
        <v>4</v>
      </c>
      <c r="W4">
        <v>6</v>
      </c>
      <c r="X4">
        <v>0.67</v>
      </c>
      <c r="Y4">
        <v>54</v>
      </c>
      <c r="Z4">
        <f t="shared" ref="Z4:Z11" si="3">(Q4*S4+T4*V4)/(S4+V4)</f>
        <v>5.9814814814814818</v>
      </c>
      <c r="AA4">
        <f t="shared" ref="AA4:AA11" si="4">Z4*C4</f>
        <v>4.1272222222222226</v>
      </c>
      <c r="AB4">
        <f t="shared" ref="AB4:AB11" si="5">Z4*C4*D4</f>
        <v>1.8242322222222225</v>
      </c>
      <c r="AC4">
        <f t="shared" ref="AC4:AC11" si="6">AB4*Y4/697</f>
        <v>0.14133219512195125</v>
      </c>
      <c r="AD4">
        <f t="shared" ref="AD4:AD11" si="7">AB4/$AC$13</f>
        <v>1.334509735591181</v>
      </c>
      <c r="AE4">
        <f t="shared" ref="AE4:AE11" si="8">AD4*M4*Y4/697</f>
        <v>9.3568853340517961</v>
      </c>
      <c r="AF4">
        <f t="shared" ref="AF4:AF11" si="9">M4*Y4/697</f>
        <v>7.0114777618364421</v>
      </c>
      <c r="AH4">
        <v>4.1272222222222226</v>
      </c>
      <c r="AI4">
        <f t="shared" ref="AI4:AI11" si="10">AH4*Y4/697</f>
        <v>0.31975609756097562</v>
      </c>
      <c r="AJ4">
        <f t="shared" ref="AJ4:AJ11" si="11">AH4/$AI$13</f>
        <v>1.1855656465484659</v>
      </c>
      <c r="AK4">
        <f t="shared" ref="AK4:AK11" si="12">AJ4*M4*Y4/697</f>
        <v>8.3125671659718119</v>
      </c>
      <c r="AL4">
        <f t="shared" ref="AL4:AL11" si="13">M4*Y4/697</f>
        <v>7.0114777618364421</v>
      </c>
    </row>
    <row r="5" spans="1:38">
      <c r="A5">
        <v>96</v>
      </c>
      <c r="B5">
        <v>105</v>
      </c>
      <c r="C5">
        <v>0.64700000000000002</v>
      </c>
      <c r="D5">
        <v>0.42299999999999999</v>
      </c>
      <c r="E5">
        <v>0.56000000000000005</v>
      </c>
      <c r="F5">
        <v>0.98</v>
      </c>
      <c r="G5">
        <v>1.18</v>
      </c>
      <c r="H5">
        <v>0.83499999999999996</v>
      </c>
      <c r="I5">
        <v>0.16</v>
      </c>
      <c r="J5">
        <v>0.34599999999999997</v>
      </c>
      <c r="K5">
        <v>8.8800000000000008</v>
      </c>
      <c r="M5">
        <f t="shared" si="0"/>
        <v>100.5</v>
      </c>
      <c r="N5">
        <f t="shared" si="1"/>
        <v>16.870157819225252</v>
      </c>
      <c r="O5">
        <f t="shared" si="2"/>
        <v>46.09475340003867</v>
      </c>
      <c r="P5" t="s">
        <v>68</v>
      </c>
      <c r="Q5">
        <v>5.87</v>
      </c>
      <c r="R5">
        <v>0.63</v>
      </c>
      <c r="S5">
        <v>86</v>
      </c>
      <c r="T5">
        <v>5.87</v>
      </c>
      <c r="U5">
        <v>0.67</v>
      </c>
      <c r="V5">
        <v>31</v>
      </c>
      <c r="W5">
        <v>5.87</v>
      </c>
      <c r="X5">
        <v>0.64</v>
      </c>
      <c r="Y5">
        <v>117</v>
      </c>
      <c r="Z5">
        <f t="shared" si="3"/>
        <v>5.87</v>
      </c>
      <c r="AA5">
        <f t="shared" si="4"/>
        <v>3.7978900000000002</v>
      </c>
      <c r="AB5">
        <f t="shared" si="5"/>
        <v>1.6065074699999999</v>
      </c>
      <c r="AC5">
        <f t="shared" si="6"/>
        <v>0.26967198563845052</v>
      </c>
      <c r="AD5">
        <f t="shared" si="7"/>
        <v>1.1752340699274162</v>
      </c>
      <c r="AE5">
        <f t="shared" si="8"/>
        <v>19.826384234205914</v>
      </c>
      <c r="AF5">
        <f t="shared" si="9"/>
        <v>16.870157819225252</v>
      </c>
      <c r="AH5">
        <v>3.7978900000000002</v>
      </c>
      <c r="AI5">
        <f t="shared" si="10"/>
        <v>0.637522424677188</v>
      </c>
      <c r="AJ5">
        <f t="shared" si="11"/>
        <v>1.0909632849732018</v>
      </c>
      <c r="AK5">
        <f t="shared" si="12"/>
        <v>18.404722792478324</v>
      </c>
      <c r="AL5">
        <f t="shared" si="13"/>
        <v>16.870157819225252</v>
      </c>
    </row>
    <row r="6" spans="1:38">
      <c r="A6">
        <v>106</v>
      </c>
      <c r="B6">
        <v>115</v>
      </c>
      <c r="C6">
        <v>0.70699999999999996</v>
      </c>
      <c r="D6">
        <v>0.42299999999999999</v>
      </c>
      <c r="E6">
        <v>0.56000000000000005</v>
      </c>
      <c r="F6">
        <v>0.98</v>
      </c>
      <c r="G6">
        <v>1.37</v>
      </c>
      <c r="H6">
        <v>0.88600000000000001</v>
      </c>
      <c r="I6">
        <v>0.16</v>
      </c>
      <c r="J6">
        <v>0.34599999999999997</v>
      </c>
      <c r="K6">
        <v>5.42</v>
      </c>
      <c r="M6">
        <f t="shared" si="0"/>
        <v>110.5</v>
      </c>
      <c r="N6">
        <f t="shared" si="1"/>
        <v>27.26829268292683</v>
      </c>
      <c r="O6">
        <f t="shared" si="2"/>
        <v>10.65518681785993</v>
      </c>
      <c r="P6" t="s">
        <v>69</v>
      </c>
      <c r="Q6">
        <v>5.49</v>
      </c>
      <c r="R6">
        <v>0.67</v>
      </c>
      <c r="S6">
        <v>116</v>
      </c>
      <c r="T6">
        <v>5.54</v>
      </c>
      <c r="U6">
        <v>0.63</v>
      </c>
      <c r="V6">
        <v>56</v>
      </c>
      <c r="W6">
        <v>5.54</v>
      </c>
      <c r="X6">
        <v>0.65</v>
      </c>
      <c r="Y6">
        <v>172</v>
      </c>
      <c r="Z6">
        <f t="shared" si="3"/>
        <v>5.5062790697674417</v>
      </c>
      <c r="AA6">
        <f t="shared" si="4"/>
        <v>3.8929393023255812</v>
      </c>
      <c r="AB6">
        <f t="shared" si="5"/>
        <v>1.6467133248837207</v>
      </c>
      <c r="AC6">
        <f t="shared" si="6"/>
        <v>0.40636254215208029</v>
      </c>
      <c r="AD6">
        <f t="shared" si="7"/>
        <v>1.2046465011499776</v>
      </c>
      <c r="AE6">
        <f t="shared" si="8"/>
        <v>32.848653372821339</v>
      </c>
      <c r="AF6">
        <f t="shared" si="9"/>
        <v>27.26829268292683</v>
      </c>
      <c r="AH6">
        <v>3.8929393023255812</v>
      </c>
      <c r="AI6">
        <f t="shared" si="10"/>
        <v>0.96066794835007174</v>
      </c>
      <c r="AJ6">
        <f t="shared" si="11"/>
        <v>1.1182666821488774</v>
      </c>
      <c r="AK6">
        <f t="shared" si="12"/>
        <v>30.493223186401096</v>
      </c>
      <c r="AL6">
        <f t="shared" si="13"/>
        <v>27.26829268292683</v>
      </c>
    </row>
    <row r="7" spans="1:38">
      <c r="A7">
        <v>116</v>
      </c>
      <c r="B7">
        <v>125</v>
      </c>
      <c r="C7">
        <v>0.67400000000000004</v>
      </c>
      <c r="D7">
        <v>0.39700000000000002</v>
      </c>
      <c r="E7">
        <v>0.55400000000000005</v>
      </c>
      <c r="F7">
        <v>0.6</v>
      </c>
      <c r="G7">
        <v>1.01</v>
      </c>
      <c r="H7">
        <v>0.85299999999999998</v>
      </c>
      <c r="I7">
        <v>0.08</v>
      </c>
      <c r="J7">
        <v>0.437</v>
      </c>
      <c r="K7">
        <v>6.79</v>
      </c>
      <c r="M7">
        <f t="shared" si="0"/>
        <v>120.5</v>
      </c>
      <c r="N7">
        <f t="shared" si="1"/>
        <v>26.10545193687231</v>
      </c>
      <c r="O7">
        <f t="shared" si="2"/>
        <v>2.5472666807523288</v>
      </c>
      <c r="P7" t="s">
        <v>70</v>
      </c>
      <c r="Q7">
        <v>5.29</v>
      </c>
      <c r="R7">
        <v>0.77</v>
      </c>
      <c r="S7">
        <v>110</v>
      </c>
      <c r="T7">
        <v>5.0199999999999996</v>
      </c>
      <c r="U7">
        <v>0.68</v>
      </c>
      <c r="V7">
        <v>41</v>
      </c>
      <c r="W7">
        <v>5.15</v>
      </c>
      <c r="X7">
        <v>0.75</v>
      </c>
      <c r="Y7">
        <v>151</v>
      </c>
      <c r="Z7">
        <f t="shared" si="3"/>
        <v>5.2166887417218542</v>
      </c>
      <c r="AA7">
        <f t="shared" si="4"/>
        <v>3.5160482119205301</v>
      </c>
      <c r="AB7">
        <f t="shared" si="5"/>
        <v>1.3958711401324506</v>
      </c>
      <c r="AC7">
        <f t="shared" si="6"/>
        <v>0.3024053689526543</v>
      </c>
      <c r="AD7">
        <f t="shared" si="7"/>
        <v>1.0211439110906111</v>
      </c>
      <c r="AE7">
        <f t="shared" si="8"/>
        <v>26.65742329160576</v>
      </c>
      <c r="AF7">
        <f t="shared" si="9"/>
        <v>26.10545193687231</v>
      </c>
      <c r="AH7">
        <v>3.5160482119205301</v>
      </c>
      <c r="AI7">
        <f t="shared" si="10"/>
        <v>0.76172637015781941</v>
      </c>
      <c r="AJ7">
        <f t="shared" si="11"/>
        <v>1.0100027929721433</v>
      </c>
      <c r="AK7">
        <f t="shared" si="12"/>
        <v>26.366579368041084</v>
      </c>
      <c r="AL7">
        <f t="shared" si="13"/>
        <v>26.10545193687231</v>
      </c>
    </row>
    <row r="8" spans="1:38">
      <c r="A8">
        <v>126</v>
      </c>
      <c r="B8">
        <v>135</v>
      </c>
      <c r="C8">
        <v>0.62</v>
      </c>
      <c r="D8">
        <v>0.34899999999999998</v>
      </c>
      <c r="E8">
        <v>0.58699999999999997</v>
      </c>
      <c r="F8">
        <v>0.35</v>
      </c>
      <c r="G8">
        <v>0.74</v>
      </c>
      <c r="H8">
        <v>0.78700000000000003</v>
      </c>
      <c r="I8">
        <v>0.08</v>
      </c>
      <c r="J8">
        <v>0.39400000000000002</v>
      </c>
      <c r="K8">
        <v>6.15</v>
      </c>
      <c r="M8">
        <f t="shared" si="0"/>
        <v>130.5</v>
      </c>
      <c r="N8">
        <f t="shared" si="1"/>
        <v>20.595408895265422</v>
      </c>
      <c r="O8">
        <f t="shared" si="2"/>
        <v>28.460730856276143</v>
      </c>
      <c r="P8" t="s">
        <v>71</v>
      </c>
      <c r="Q8">
        <v>4.71</v>
      </c>
      <c r="R8">
        <v>0.66</v>
      </c>
      <c r="S8">
        <v>79</v>
      </c>
      <c r="T8">
        <v>5</v>
      </c>
      <c r="U8">
        <v>0.68</v>
      </c>
      <c r="V8">
        <v>31</v>
      </c>
      <c r="W8">
        <v>4.79</v>
      </c>
      <c r="X8">
        <v>0.68</v>
      </c>
      <c r="Y8">
        <v>110</v>
      </c>
      <c r="Z8">
        <f t="shared" si="3"/>
        <v>4.7917272727272717</v>
      </c>
      <c r="AA8">
        <f t="shared" si="4"/>
        <v>2.9708709090909085</v>
      </c>
      <c r="AB8">
        <f t="shared" si="5"/>
        <v>1.036833947272727</v>
      </c>
      <c r="AC8">
        <f t="shared" si="6"/>
        <v>0.1636323302725968</v>
      </c>
      <c r="AD8">
        <f t="shared" si="7"/>
        <v>0.75849169857407195</v>
      </c>
      <c r="AE8">
        <f t="shared" si="8"/>
        <v>15.621446675797422</v>
      </c>
      <c r="AF8">
        <f t="shared" si="9"/>
        <v>20.595408895265422</v>
      </c>
      <c r="AH8">
        <v>2.9708709090909085</v>
      </c>
      <c r="AI8">
        <f t="shared" si="10"/>
        <v>0.46886054519368714</v>
      </c>
      <c r="AJ8">
        <f t="shared" si="11"/>
        <v>0.85339783043035466</v>
      </c>
      <c r="AK8">
        <f t="shared" si="12"/>
        <v>17.576077268045541</v>
      </c>
      <c r="AL8">
        <f t="shared" si="13"/>
        <v>20.595408895265422</v>
      </c>
    </row>
    <row r="9" spans="1:38">
      <c r="A9">
        <v>136</v>
      </c>
      <c r="B9">
        <v>145</v>
      </c>
      <c r="C9">
        <v>0.64300000000000002</v>
      </c>
      <c r="D9">
        <v>0.246</v>
      </c>
      <c r="E9">
        <v>0.52500000000000002</v>
      </c>
      <c r="F9">
        <v>0.1</v>
      </c>
      <c r="G9">
        <v>0.41</v>
      </c>
      <c r="H9">
        <v>0.80400000000000005</v>
      </c>
      <c r="I9">
        <v>0</v>
      </c>
      <c r="J9">
        <v>0.45</v>
      </c>
      <c r="K9">
        <v>6.93</v>
      </c>
      <c r="M9">
        <f t="shared" si="0"/>
        <v>140.5</v>
      </c>
      <c r="N9">
        <f t="shared" si="1"/>
        <v>10.280487804878049</v>
      </c>
      <c r="O9">
        <f t="shared" si="2"/>
        <v>40.164670758642501</v>
      </c>
      <c r="P9" t="s">
        <v>72</v>
      </c>
      <c r="Q9">
        <v>4.28</v>
      </c>
      <c r="R9">
        <v>0.84</v>
      </c>
      <c r="S9">
        <v>25</v>
      </c>
      <c r="T9">
        <v>4.1900000000000004</v>
      </c>
      <c r="U9">
        <v>0.63</v>
      </c>
      <c r="V9">
        <v>26</v>
      </c>
      <c r="W9">
        <v>4.24</v>
      </c>
      <c r="X9">
        <v>0.74</v>
      </c>
      <c r="Y9">
        <v>51</v>
      </c>
      <c r="Z9">
        <f t="shared" si="3"/>
        <v>4.2341176470588238</v>
      </c>
      <c r="AA9">
        <f t="shared" si="4"/>
        <v>2.7225376470588238</v>
      </c>
      <c r="AB9">
        <f t="shared" si="5"/>
        <v>0.66974426117647068</v>
      </c>
      <c r="AC9">
        <f t="shared" si="6"/>
        <v>4.9005677647058828E-2</v>
      </c>
      <c r="AD9">
        <f t="shared" si="7"/>
        <v>0.48994871705946941</v>
      </c>
      <c r="AE9">
        <f t="shared" si="8"/>
        <v>5.0369118107455204</v>
      </c>
      <c r="AF9">
        <f t="shared" si="9"/>
        <v>10.280487804878049</v>
      </c>
      <c r="AH9">
        <v>2.7225376470588238</v>
      </c>
      <c r="AI9">
        <f t="shared" si="10"/>
        <v>0.19921007173601149</v>
      </c>
      <c r="AJ9">
        <f t="shared" si="11"/>
        <v>0.78206283354665507</v>
      </c>
      <c r="AK9">
        <f t="shared" si="12"/>
        <v>8.0399874229247601</v>
      </c>
      <c r="AL9">
        <f t="shared" si="13"/>
        <v>10.280487804878049</v>
      </c>
    </row>
    <row r="10" spans="1:38">
      <c r="A10">
        <v>146</v>
      </c>
      <c r="B10">
        <v>155</v>
      </c>
      <c r="C10">
        <v>0.57799999999999996</v>
      </c>
      <c r="D10">
        <v>0.24299999999999999</v>
      </c>
      <c r="E10">
        <v>0.622</v>
      </c>
      <c r="G10">
        <v>0.43</v>
      </c>
      <c r="H10">
        <v>0.71399999999999997</v>
      </c>
      <c r="I10">
        <v>0</v>
      </c>
      <c r="J10">
        <v>0.45</v>
      </c>
      <c r="K10">
        <v>6.93</v>
      </c>
      <c r="M10">
        <f t="shared" si="0"/>
        <v>150.5</v>
      </c>
      <c r="N10">
        <f t="shared" si="1"/>
        <v>7.5573888091822097</v>
      </c>
      <c r="O10">
        <f t="shared" si="2"/>
        <v>56.115333988899913</v>
      </c>
      <c r="P10" t="s">
        <v>73</v>
      </c>
      <c r="Q10">
        <v>3.67</v>
      </c>
      <c r="R10">
        <v>0.91</v>
      </c>
      <c r="S10">
        <v>21</v>
      </c>
      <c r="T10">
        <v>3.86</v>
      </c>
      <c r="U10">
        <v>0.77</v>
      </c>
      <c r="V10">
        <v>14</v>
      </c>
      <c r="W10">
        <v>3.74</v>
      </c>
      <c r="X10">
        <v>0.85</v>
      </c>
      <c r="Y10">
        <v>35</v>
      </c>
      <c r="Z10">
        <f t="shared" si="3"/>
        <v>3.7459999999999996</v>
      </c>
      <c r="AA10">
        <f t="shared" si="4"/>
        <v>2.1651879999999997</v>
      </c>
      <c r="AB10">
        <f t="shared" si="5"/>
        <v>0.52614068399999991</v>
      </c>
      <c r="AC10">
        <f t="shared" si="6"/>
        <v>2.6420263902439022E-2</v>
      </c>
      <c r="AD10">
        <f t="shared" si="7"/>
        <v>0.38489609849851147</v>
      </c>
      <c r="AE10">
        <f t="shared" si="8"/>
        <v>2.9088094674905438</v>
      </c>
      <c r="AF10">
        <f t="shared" si="9"/>
        <v>7.5573888091822097</v>
      </c>
      <c r="AH10">
        <v>2.1651879999999997</v>
      </c>
      <c r="AI10">
        <f t="shared" si="10"/>
        <v>0.10872536585365852</v>
      </c>
      <c r="AJ10">
        <f t="shared" si="11"/>
        <v>0.62196130300365626</v>
      </c>
      <c r="AK10">
        <f t="shared" si="12"/>
        <v>4.7004033910642171</v>
      </c>
      <c r="AL10">
        <f t="shared" si="13"/>
        <v>7.5573888091822097</v>
      </c>
    </row>
    <row r="11" spans="1:38">
      <c r="A11">
        <v>156</v>
      </c>
      <c r="B11">
        <v>165</v>
      </c>
      <c r="C11">
        <v>0.40899999999999997</v>
      </c>
      <c r="D11">
        <v>0.24299999999999999</v>
      </c>
      <c r="E11">
        <v>0.622</v>
      </c>
      <c r="G11">
        <v>0.3</v>
      </c>
      <c r="H11">
        <v>0.83299999999999996</v>
      </c>
      <c r="I11">
        <v>0</v>
      </c>
      <c r="J11">
        <v>0.45</v>
      </c>
      <c r="K11">
        <v>6.93</v>
      </c>
      <c r="M11">
        <f t="shared" si="0"/>
        <v>160.5</v>
      </c>
      <c r="N11">
        <f t="shared" si="1"/>
        <v>1.1513629842180775</v>
      </c>
      <c r="O11">
        <f t="shared" si="2"/>
        <v>13.529959978337597</v>
      </c>
      <c r="P11" t="s">
        <v>74</v>
      </c>
      <c r="Q11">
        <v>3.33</v>
      </c>
      <c r="R11">
        <v>0.57999999999999996</v>
      </c>
      <c r="S11">
        <v>3</v>
      </c>
      <c r="T11">
        <v>3</v>
      </c>
      <c r="U11">
        <v>1.41</v>
      </c>
      <c r="V11">
        <v>2</v>
      </c>
      <c r="W11">
        <v>3.2</v>
      </c>
      <c r="X11">
        <v>0.84</v>
      </c>
      <c r="Y11">
        <v>5</v>
      </c>
      <c r="Z11">
        <f t="shared" si="3"/>
        <v>3.198</v>
      </c>
      <c r="AA11">
        <f t="shared" si="4"/>
        <v>1.307982</v>
      </c>
      <c r="AB11">
        <f t="shared" si="5"/>
        <v>0.31783962599999999</v>
      </c>
      <c r="AC11">
        <f t="shared" si="6"/>
        <v>2.2800547058823531E-3</v>
      </c>
      <c r="AD11">
        <f t="shared" si="7"/>
        <v>0.23251429839177018</v>
      </c>
      <c r="AE11">
        <f t="shared" si="8"/>
        <v>0.26770835646972108</v>
      </c>
      <c r="AF11">
        <f t="shared" si="9"/>
        <v>1.1513629842180775</v>
      </c>
      <c r="AH11">
        <v>1.307982</v>
      </c>
      <c r="AI11">
        <f t="shared" si="10"/>
        <v>9.3829411764705887E-3</v>
      </c>
      <c r="AJ11">
        <f t="shared" si="11"/>
        <v>0.37572450476601965</v>
      </c>
      <c r="AK11">
        <f t="shared" si="12"/>
        <v>0.43259528705126365</v>
      </c>
      <c r="AL11">
        <f t="shared" si="13"/>
        <v>1.1513629842180775</v>
      </c>
    </row>
    <row r="12" spans="1:38">
      <c r="A12" t="s">
        <v>75</v>
      </c>
      <c r="C12">
        <v>0.66500000000000004</v>
      </c>
      <c r="D12">
        <v>0.379</v>
      </c>
      <c r="E12">
        <v>0.54700000000000004</v>
      </c>
      <c r="G12">
        <v>1</v>
      </c>
      <c r="H12">
        <v>0.82699999999999996</v>
      </c>
      <c r="I12">
        <v>0.107</v>
      </c>
      <c r="J12">
        <v>0.46200000000000002</v>
      </c>
      <c r="K12">
        <v>7.2</v>
      </c>
      <c r="N12" t="s">
        <v>76</v>
      </c>
      <c r="O12" t="s">
        <v>77</v>
      </c>
      <c r="P12" t="s">
        <v>78</v>
      </c>
      <c r="Q12">
        <v>5.27</v>
      </c>
      <c r="R12">
        <v>0.93</v>
      </c>
      <c r="S12">
        <v>492</v>
      </c>
      <c r="T12">
        <v>5.1100000000000003</v>
      </c>
      <c r="U12">
        <v>0.93</v>
      </c>
      <c r="V12">
        <v>205</v>
      </c>
      <c r="W12">
        <v>5.22</v>
      </c>
      <c r="X12">
        <v>0.94</v>
      </c>
      <c r="Y12">
        <v>697</v>
      </c>
      <c r="AE12" t="s">
        <v>79</v>
      </c>
      <c r="AK12" t="s">
        <v>80</v>
      </c>
    </row>
    <row r="13" spans="1:38">
      <c r="N13">
        <f>SUM(N3:N11)</f>
        <v>117.07101865136299</v>
      </c>
      <c r="O13">
        <f>SUM(O3:O11)</f>
        <v>256.10435376866218</v>
      </c>
      <c r="AB13" t="s">
        <v>81</v>
      </c>
      <c r="AC13">
        <f>SUM(AC3:AC11)</f>
        <v>1.3669680884074606</v>
      </c>
      <c r="AD13" t="s">
        <v>82</v>
      </c>
      <c r="AE13">
        <f>SUM(AE3:AE11)-SUM(AF3:AF11)</f>
        <v>-4.2018411380086178</v>
      </c>
      <c r="AI13">
        <f>SUM(AI3:AI11)</f>
        <v>3.4812262266857963</v>
      </c>
      <c r="AJ13" t="s">
        <v>82</v>
      </c>
      <c r="AK13">
        <f>SUM(AK3:AK11)-SUM(AL3:AL11)</f>
        <v>-2.3893431596865469</v>
      </c>
    </row>
    <row r="14" spans="1:38">
      <c r="AD14" t="s">
        <v>83</v>
      </c>
      <c r="AE14">
        <f>AE13/SQRT(O13)</f>
        <v>-0.26256156234253242</v>
      </c>
      <c r="AJ14" t="s">
        <v>83</v>
      </c>
      <c r="AK14">
        <f>AK13/SQRT(O13)</f>
        <v>-0.14930352014142617</v>
      </c>
    </row>
    <row r="18" spans="1:3">
      <c r="A18" t="s">
        <v>100</v>
      </c>
    </row>
    <row r="19" spans="1:3">
      <c r="A19" t="s">
        <v>102</v>
      </c>
      <c r="B19">
        <f>-3+0.047*150</f>
        <v>4.05</v>
      </c>
      <c r="C19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3F2F-D9E3-F341-903E-1E9CDC184BF4}">
  <dimension ref="A1:L12"/>
  <sheetViews>
    <sheetView tabSelected="1" workbookViewId="0">
      <selection activeCell="L9" sqref="L9"/>
    </sheetView>
  </sheetViews>
  <sheetFormatPr baseColWidth="10" defaultRowHeight="16"/>
  <sheetData>
    <row r="1" spans="1:12">
      <c r="A1" t="s">
        <v>145</v>
      </c>
      <c r="B1" t="s">
        <v>143</v>
      </c>
      <c r="C1" t="s">
        <v>144</v>
      </c>
      <c r="D1" t="s">
        <v>146</v>
      </c>
      <c r="E1" t="s">
        <v>147</v>
      </c>
      <c r="F1" t="s">
        <v>148</v>
      </c>
    </row>
    <row r="2" spans="1:12">
      <c r="A2">
        <v>1</v>
      </c>
      <c r="B2">
        <v>8</v>
      </c>
      <c r="C2">
        <f>B2/2</f>
        <v>4</v>
      </c>
      <c r="D2">
        <f>A2/$A$9</f>
        <v>1.3368983957219251E-3</v>
      </c>
      <c r="E2">
        <f>POWER(C2,2)*D2</f>
        <v>2.1390374331550801E-2</v>
      </c>
      <c r="F2">
        <f>D2*C2</f>
        <v>5.3475935828877002E-3</v>
      </c>
    </row>
    <row r="3" spans="1:12">
      <c r="A3">
        <v>34</v>
      </c>
      <c r="B3">
        <v>7</v>
      </c>
      <c r="C3">
        <f t="shared" ref="C3:C8" si="0">B3/2</f>
        <v>3.5</v>
      </c>
      <c r="D3">
        <f t="shared" ref="D3:D8" si="1">A3/$A$9</f>
        <v>4.5454545454545456E-2</v>
      </c>
      <c r="E3">
        <f t="shared" ref="E3:E8" si="2">POWER(C3,2)*D3</f>
        <v>0.55681818181818188</v>
      </c>
      <c r="F3">
        <f t="shared" ref="F3:F8" si="3">D3*C3</f>
        <v>0.15909090909090909</v>
      </c>
    </row>
    <row r="4" spans="1:12">
      <c r="A4">
        <v>286</v>
      </c>
      <c r="B4">
        <v>6</v>
      </c>
      <c r="C4">
        <f t="shared" si="0"/>
        <v>3</v>
      </c>
      <c r="D4">
        <f t="shared" si="1"/>
        <v>0.38235294117647056</v>
      </c>
      <c r="E4">
        <f t="shared" si="2"/>
        <v>3.4411764705882351</v>
      </c>
      <c r="F4">
        <f t="shared" si="3"/>
        <v>1.1470588235294117</v>
      </c>
    </row>
    <row r="5" spans="1:12">
      <c r="A5">
        <v>267</v>
      </c>
      <c r="B5">
        <v>5</v>
      </c>
      <c r="C5">
        <f t="shared" si="0"/>
        <v>2.5</v>
      </c>
      <c r="D5">
        <f t="shared" si="1"/>
        <v>0.35695187165775399</v>
      </c>
      <c r="E5">
        <f t="shared" si="2"/>
        <v>2.2309491978609626</v>
      </c>
      <c r="F5">
        <f t="shared" si="3"/>
        <v>0.89237967914438499</v>
      </c>
    </row>
    <row r="6" spans="1:12">
      <c r="A6">
        <v>134</v>
      </c>
      <c r="B6">
        <v>4</v>
      </c>
      <c r="C6">
        <f t="shared" si="0"/>
        <v>2</v>
      </c>
      <c r="D6">
        <f t="shared" si="1"/>
        <v>0.17914438502673796</v>
      </c>
      <c r="E6">
        <f t="shared" si="2"/>
        <v>0.71657754010695185</v>
      </c>
      <c r="F6">
        <f t="shared" si="3"/>
        <v>0.35828877005347592</v>
      </c>
    </row>
    <row r="7" spans="1:12">
      <c r="A7">
        <v>18</v>
      </c>
      <c r="B7">
        <v>3</v>
      </c>
      <c r="C7">
        <f t="shared" si="0"/>
        <v>1.5</v>
      </c>
      <c r="D7">
        <f t="shared" si="1"/>
        <v>2.4064171122994651E-2</v>
      </c>
      <c r="E7">
        <f t="shared" si="2"/>
        <v>5.4144385026737962E-2</v>
      </c>
      <c r="F7">
        <f t="shared" si="3"/>
        <v>3.6096256684491977E-2</v>
      </c>
      <c r="K7">
        <v>1.0469999999999999</v>
      </c>
      <c r="L7" t="s">
        <v>150</v>
      </c>
    </row>
    <row r="8" spans="1:12">
      <c r="A8">
        <v>8</v>
      </c>
      <c r="B8">
        <v>2</v>
      </c>
      <c r="C8">
        <f t="shared" si="0"/>
        <v>1</v>
      </c>
      <c r="D8">
        <f t="shared" si="1"/>
        <v>1.06951871657754E-2</v>
      </c>
      <c r="E8">
        <f t="shared" si="2"/>
        <v>1.06951871657754E-2</v>
      </c>
      <c r="F8">
        <f t="shared" si="3"/>
        <v>1.06951871657754E-2</v>
      </c>
      <c r="K8">
        <f>1/1.047</f>
        <v>0.95510983763132762</v>
      </c>
      <c r="L8">
        <f>1-K8</f>
        <v>4.4890162368672382E-2</v>
      </c>
    </row>
    <row r="9" spans="1:12">
      <c r="A9">
        <f>SUM(A2:A8)</f>
        <v>748</v>
      </c>
      <c r="E9">
        <f>SUM(E2:E8)</f>
        <v>7.0317513368983953</v>
      </c>
      <c r="F9">
        <f>POWER(SUM(F2:F8),2)</f>
        <v>6.8066577718836703</v>
      </c>
    </row>
    <row r="11" spans="1:12">
      <c r="D11" t="s">
        <v>134</v>
      </c>
      <c r="E11">
        <f>E9-F9</f>
        <v>0.22509356501472499</v>
      </c>
    </row>
    <row r="12" spans="1:12">
      <c r="D12" t="s">
        <v>149</v>
      </c>
      <c r="E12">
        <f>SQRT(E11)</f>
        <v>0.47444026495937819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EAE70-A602-DD4C-B878-8161D8203C74}">
  <dimension ref="A1:I19"/>
  <sheetViews>
    <sheetView workbookViewId="0">
      <selection activeCell="K2" sqref="K2"/>
    </sheetView>
  </sheetViews>
  <sheetFormatPr baseColWidth="10" defaultRowHeight="16"/>
  <sheetData>
    <row r="1" spans="1:9">
      <c r="A1" s="3"/>
      <c r="B1" s="3" t="s">
        <v>84</v>
      </c>
      <c r="C1" s="3" t="s">
        <v>85</v>
      </c>
      <c r="D1" s="3" t="s">
        <v>86</v>
      </c>
      <c r="E1" s="3" t="s">
        <v>87</v>
      </c>
      <c r="F1" s="3" t="s">
        <v>86</v>
      </c>
      <c r="G1" s="3" t="s">
        <v>88</v>
      </c>
      <c r="H1" s="3" t="s">
        <v>89</v>
      </c>
      <c r="I1" s="3" t="s">
        <v>90</v>
      </c>
    </row>
    <row r="2" spans="1:9">
      <c r="A2" s="3" t="s">
        <v>91</v>
      </c>
      <c r="B2" s="3">
        <v>1960</v>
      </c>
      <c r="C2" s="3">
        <v>107</v>
      </c>
      <c r="D2" s="3">
        <v>115</v>
      </c>
      <c r="E2" s="3">
        <v>5.62</v>
      </c>
      <c r="F2" s="3">
        <v>10.95</v>
      </c>
      <c r="G2" s="3">
        <v>95</v>
      </c>
      <c r="H2" s="3" t="s">
        <v>92</v>
      </c>
      <c r="I2" s="3">
        <v>42</v>
      </c>
    </row>
    <row r="3" spans="1:9">
      <c r="A3" s="3" t="s">
        <v>91</v>
      </c>
      <c r="B3" s="3">
        <v>1961</v>
      </c>
      <c r="C3" s="3">
        <v>118</v>
      </c>
      <c r="D3" s="3">
        <v>112</v>
      </c>
      <c r="E3" s="3">
        <v>4.95</v>
      </c>
      <c r="F3" s="3">
        <v>10.8</v>
      </c>
      <c r="G3" s="3">
        <v>97</v>
      </c>
      <c r="H3" s="3" t="s">
        <v>92</v>
      </c>
      <c r="I3" s="3">
        <v>25</v>
      </c>
    </row>
    <row r="4" spans="1:9">
      <c r="A4" s="3" t="s">
        <v>91</v>
      </c>
      <c r="B4" s="3">
        <v>1962</v>
      </c>
      <c r="C4" s="3">
        <v>144</v>
      </c>
      <c r="D4" s="3">
        <v>110</v>
      </c>
      <c r="E4" s="3">
        <v>4.03</v>
      </c>
      <c r="F4" s="3">
        <v>10.98</v>
      </c>
      <c r="G4" s="3">
        <v>29</v>
      </c>
      <c r="H4" s="3" t="s">
        <v>93</v>
      </c>
      <c r="I4" s="3">
        <v>83</v>
      </c>
    </row>
    <row r="5" spans="1:9">
      <c r="A5" s="3" t="s">
        <v>91</v>
      </c>
      <c r="B5" s="3">
        <v>1963</v>
      </c>
      <c r="C5" s="3">
        <v>122</v>
      </c>
      <c r="D5" s="3">
        <v>112</v>
      </c>
      <c r="E5" s="3">
        <v>5.24</v>
      </c>
      <c r="F5" s="3">
        <v>10.91</v>
      </c>
      <c r="G5" s="3">
        <v>42</v>
      </c>
      <c r="H5" s="3" t="s">
        <v>93</v>
      </c>
      <c r="I5" s="3">
        <v>346</v>
      </c>
    </row>
    <row r="6" spans="1:9">
      <c r="A6" s="3" t="s">
        <v>91</v>
      </c>
      <c r="B6" s="3">
        <v>1964</v>
      </c>
      <c r="C6" s="3">
        <v>109</v>
      </c>
      <c r="D6" s="3">
        <v>110</v>
      </c>
      <c r="E6" s="3">
        <v>5.6</v>
      </c>
      <c r="F6" s="3">
        <v>10.66</v>
      </c>
      <c r="G6" s="3">
        <v>73</v>
      </c>
      <c r="H6" s="3" t="s">
        <v>92</v>
      </c>
      <c r="I6" s="3">
        <v>109</v>
      </c>
    </row>
    <row r="7" spans="1:9">
      <c r="A7" s="3" t="s">
        <v>91</v>
      </c>
      <c r="B7" s="3">
        <v>1965</v>
      </c>
      <c r="C7" s="3">
        <v>106</v>
      </c>
      <c r="D7" s="3">
        <v>114</v>
      </c>
      <c r="E7" s="3">
        <v>5.61</v>
      </c>
      <c r="F7" s="3">
        <v>10.86</v>
      </c>
      <c r="G7" s="3">
        <v>61</v>
      </c>
      <c r="H7" s="3" t="s">
        <v>94</v>
      </c>
      <c r="I7" s="3">
        <v>60</v>
      </c>
    </row>
    <row r="8" spans="1:9">
      <c r="A8" s="3" t="s">
        <v>91</v>
      </c>
      <c r="B8" s="3">
        <v>1985</v>
      </c>
      <c r="C8" s="3">
        <v>121</v>
      </c>
      <c r="D8" s="3">
        <v>111</v>
      </c>
      <c r="E8" s="3">
        <v>5.24</v>
      </c>
      <c r="F8" s="3">
        <v>10.7</v>
      </c>
      <c r="G8" s="3">
        <v>41</v>
      </c>
      <c r="H8" s="3" t="s">
        <v>94</v>
      </c>
      <c r="I8" s="3">
        <v>194</v>
      </c>
    </row>
    <row r="9" spans="1:9">
      <c r="A9" s="3" t="s">
        <v>91</v>
      </c>
      <c r="B9" s="3">
        <v>1986</v>
      </c>
      <c r="C9" s="3">
        <v>122</v>
      </c>
      <c r="D9" s="3">
        <v>111</v>
      </c>
      <c r="E9" s="3">
        <v>5.1100000000000003</v>
      </c>
      <c r="F9" s="3">
        <v>10.84</v>
      </c>
      <c r="G9" s="3">
        <v>54</v>
      </c>
      <c r="H9" s="3" t="s">
        <v>94</v>
      </c>
      <c r="I9" s="3">
        <v>149</v>
      </c>
    </row>
    <row r="10" spans="1:9">
      <c r="A10" s="3" t="s">
        <v>95</v>
      </c>
      <c r="B10" s="3">
        <v>1977</v>
      </c>
      <c r="C10" s="3">
        <v>114</v>
      </c>
      <c r="D10" s="3">
        <v>114</v>
      </c>
      <c r="E10" s="3">
        <v>5.42</v>
      </c>
      <c r="F10" s="3">
        <v>10.9</v>
      </c>
      <c r="G10" s="3">
        <v>19</v>
      </c>
      <c r="H10" s="3" t="s">
        <v>96</v>
      </c>
      <c r="I10" s="3">
        <v>19</v>
      </c>
    </row>
    <row r="11" spans="1:9">
      <c r="A11" s="3" t="s">
        <v>95</v>
      </c>
      <c r="B11" s="3">
        <v>1978</v>
      </c>
      <c r="C11" s="3">
        <v>127</v>
      </c>
      <c r="D11" s="3">
        <v>115</v>
      </c>
      <c r="E11" s="3">
        <v>4.59</v>
      </c>
      <c r="F11" s="3">
        <v>10.94</v>
      </c>
      <c r="G11" s="3">
        <v>17</v>
      </c>
      <c r="H11" s="3" t="s">
        <v>97</v>
      </c>
      <c r="I11" s="3">
        <v>44</v>
      </c>
    </row>
    <row r="12" spans="1:9">
      <c r="A12" s="3" t="s">
        <v>95</v>
      </c>
      <c r="B12" s="3">
        <v>1979</v>
      </c>
      <c r="C12" s="3">
        <v>133</v>
      </c>
      <c r="D12" s="3">
        <v>112</v>
      </c>
      <c r="E12" s="3">
        <v>4.67</v>
      </c>
      <c r="F12" s="3">
        <v>10.78</v>
      </c>
      <c r="G12" s="3">
        <v>12</v>
      </c>
      <c r="H12" s="3" t="s">
        <v>98</v>
      </c>
      <c r="I12" s="3">
        <v>206</v>
      </c>
    </row>
    <row r="13" spans="1:9">
      <c r="A13" s="3" t="s">
        <v>95</v>
      </c>
      <c r="B13" s="3">
        <v>1980</v>
      </c>
      <c r="C13" s="3">
        <v>115</v>
      </c>
      <c r="D13" s="3">
        <v>111</v>
      </c>
      <c r="E13" s="3">
        <v>5.53</v>
      </c>
      <c r="F13" s="3">
        <v>10.7</v>
      </c>
      <c r="G13" s="3">
        <v>19</v>
      </c>
      <c r="H13" s="3" t="s">
        <v>96</v>
      </c>
      <c r="I13" s="3">
        <v>47</v>
      </c>
    </row>
    <row r="14" spans="1:9">
      <c r="A14" s="3" t="s">
        <v>95</v>
      </c>
      <c r="B14" s="3">
        <v>1981</v>
      </c>
      <c r="C14" s="3">
        <v>111</v>
      </c>
      <c r="D14" s="3">
        <v>113</v>
      </c>
      <c r="E14" s="3">
        <v>5.35</v>
      </c>
      <c r="F14" s="3">
        <v>10.94</v>
      </c>
      <c r="G14" s="3">
        <v>26</v>
      </c>
      <c r="H14" s="3" t="s">
        <v>99</v>
      </c>
      <c r="I14" s="3">
        <v>40</v>
      </c>
    </row>
    <row r="15" spans="1:9">
      <c r="A15" s="3" t="s">
        <v>95</v>
      </c>
      <c r="B15" s="3">
        <v>1982</v>
      </c>
      <c r="C15" s="3">
        <v>124</v>
      </c>
      <c r="D15" s="3">
        <v>114</v>
      </c>
      <c r="E15" s="3">
        <v>4.6900000000000004</v>
      </c>
      <c r="F15" s="3">
        <v>11.01</v>
      </c>
      <c r="G15" s="3">
        <v>26</v>
      </c>
      <c r="H15" s="3" t="s">
        <v>93</v>
      </c>
      <c r="I15" s="3">
        <v>127</v>
      </c>
    </row>
    <row r="16" spans="1:9">
      <c r="A16" s="3" t="s">
        <v>95</v>
      </c>
      <c r="B16" s="3">
        <v>1983</v>
      </c>
      <c r="C16" s="3">
        <v>120</v>
      </c>
      <c r="D16" s="3">
        <v>117</v>
      </c>
      <c r="E16" s="3">
        <v>5.3</v>
      </c>
      <c r="F16" s="3">
        <v>10.95</v>
      </c>
      <c r="G16" s="3">
        <v>33</v>
      </c>
      <c r="H16" s="3" t="s">
        <v>92</v>
      </c>
      <c r="I16" s="3">
        <v>24</v>
      </c>
    </row>
    <row r="17" spans="1:9">
      <c r="A17" s="3" t="s">
        <v>95</v>
      </c>
      <c r="B17" s="3">
        <v>1984</v>
      </c>
      <c r="C17" s="3">
        <v>114</v>
      </c>
      <c r="D17" s="3">
        <v>112</v>
      </c>
      <c r="E17" s="3">
        <v>5.14</v>
      </c>
      <c r="F17" s="3">
        <v>10.88</v>
      </c>
      <c r="G17" s="3">
        <v>29</v>
      </c>
      <c r="H17" s="3" t="s">
        <v>92</v>
      </c>
      <c r="I17" s="3">
        <v>36</v>
      </c>
    </row>
    <row r="18" spans="1:9">
      <c r="A18" s="3" t="s">
        <v>95</v>
      </c>
      <c r="B18" s="3">
        <v>1985</v>
      </c>
      <c r="C18" s="3">
        <v>135</v>
      </c>
      <c r="D18" s="3">
        <v>112</v>
      </c>
      <c r="E18" s="3">
        <v>4.83</v>
      </c>
      <c r="F18" s="3">
        <v>10.84</v>
      </c>
      <c r="G18" s="3">
        <v>12</v>
      </c>
      <c r="H18" s="3" t="s">
        <v>93</v>
      </c>
      <c r="I18" s="3">
        <v>194</v>
      </c>
    </row>
    <row r="19" spans="1:9">
      <c r="A19" s="3" t="s">
        <v>95</v>
      </c>
      <c r="B19" s="3">
        <v>1986</v>
      </c>
      <c r="C19" s="3">
        <v>123</v>
      </c>
      <c r="D19" s="3">
        <v>111</v>
      </c>
      <c r="E19" s="3">
        <v>5.25</v>
      </c>
      <c r="F19" s="3">
        <v>10.91</v>
      </c>
      <c r="G19" s="3">
        <v>20</v>
      </c>
      <c r="H19" s="3" t="s">
        <v>92</v>
      </c>
      <c r="I19" s="3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kestrel  daan et al</vt:lpstr>
      <vt:lpstr>direct seln lay date</vt:lpstr>
      <vt:lpstr>heritability</vt:lpstr>
      <vt:lpstr>daniel</vt:lpstr>
      <vt:lpstr>hadflield notation</vt:lpstr>
      <vt:lpstr>mortality offspring</vt:lpstr>
      <vt:lpstr>kestrel</vt:lpstr>
      <vt:lpstr>Sheet1</vt:lpstr>
      <vt:lpstr>kestrel mean values Meijer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Price</dc:creator>
  <cp:lastModifiedBy>Trevor Price</cp:lastModifiedBy>
  <dcterms:created xsi:type="dcterms:W3CDTF">2025-08-13T21:35:42Z</dcterms:created>
  <dcterms:modified xsi:type="dcterms:W3CDTF">2026-02-13T19:00:21Z</dcterms:modified>
</cp:coreProperties>
</file>